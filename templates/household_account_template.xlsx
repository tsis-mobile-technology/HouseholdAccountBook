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간 대시보드" sheetId="1" r:id="rId5"/>
    <sheet state="visible" name="1월" sheetId="2" r:id="rId6"/>
    <sheet state="visible" name="2월" sheetId="3" r:id="rId7"/>
    <sheet state="visible" name="3월" sheetId="4" r:id="rId8"/>
    <sheet state="visible" name="4월" sheetId="5" r:id="rId9"/>
    <sheet state="visible" name="5월" sheetId="6" r:id="rId10"/>
    <sheet state="visible" name="6월" sheetId="7" r:id="rId11"/>
    <sheet state="visible" name="7월" sheetId="8" r:id="rId12"/>
    <sheet state="visible" name="8월" sheetId="9" r:id="rId13"/>
    <sheet state="visible" name="9월" sheetId="10" r:id="rId14"/>
    <sheet state="visible" name="10월" sheetId="11" r:id="rId15"/>
    <sheet state="visible" name="11월" sheetId="12" r:id="rId16"/>
    <sheet state="visible" name="12월" sheetId="13" r:id="rId17"/>
  </sheets>
  <definedNames/>
  <calcPr/>
</workbook>
</file>

<file path=xl/sharedStrings.xml><?xml version="1.0" encoding="utf-8"?>
<sst xmlns="http://schemas.openxmlformats.org/spreadsheetml/2006/main" count="1283" uniqueCount="198">
  <si>
    <t>2027년 1월 가계부</t>
  </si>
  <si>
    <t>[고정 수입]</t>
  </si>
  <si>
    <t>[이달의 변동 지출 내역]</t>
  </si>
  <si>
    <t>항목</t>
  </si>
  <si>
    <t>예정일</t>
  </si>
  <si>
    <t>내용</t>
  </si>
  <si>
    <t>금액(원)</t>
  </si>
  <si>
    <t>일자</t>
  </si>
  <si>
    <t>분류</t>
  </si>
  <si>
    <t>지출내용</t>
  </si>
  <si>
    <t>결제수단</t>
  </si>
  <si>
    <t>비고</t>
  </si>
  <si>
    <t>기본급</t>
  </si>
  <si>
    <t>25일</t>
  </si>
  <si>
    <t>정기 급여</t>
  </si>
  <si>
    <t>2027-01-03</t>
  </si>
  <si>
    <t>식비</t>
  </si>
  <si>
    <t>주말 장보기</t>
  </si>
  <si>
    <t>신용카드</t>
  </si>
  <si>
    <t>상여/수당</t>
  </si>
  <si>
    <t>-</t>
  </si>
  <si>
    <t>성과급 등</t>
  </si>
  <si>
    <t>2027-01-05</t>
  </si>
  <si>
    <t>외식/카페</t>
  </si>
  <si>
    <t>가족 외식</t>
  </si>
  <si>
    <t>부수입</t>
  </si>
  <si>
    <t>이자/배당 등</t>
  </si>
  <si>
    <t>2027-01-08</t>
  </si>
  <si>
    <t>교통/차량</t>
  </si>
  <si>
    <t>주유</t>
  </si>
  <si>
    <t>체크카드</t>
  </si>
  <si>
    <t>기타</t>
  </si>
  <si>
    <t>환급금 등</t>
  </si>
  <si>
    <t>2027-01-12</t>
  </si>
  <si>
    <t>생활용품</t>
  </si>
  <si>
    <t>생필품 구매</t>
  </si>
  <si>
    <t>고정수입 합계</t>
  </si>
  <si>
    <t>2027-01-15</t>
  </si>
  <si>
    <t>문화/여가</t>
  </si>
  <si>
    <t>도서 및 영화</t>
  </si>
  <si>
    <t>2027-01-20</t>
  </si>
  <si>
    <t>의료/건강</t>
  </si>
  <si>
    <t>병원 및 약국</t>
  </si>
  <si>
    <t>[고정 지출]</t>
  </si>
  <si>
    <t>출금일</t>
  </si>
  <si>
    <t>내용/기관</t>
  </si>
  <si>
    <t>주거/관리비</t>
  </si>
  <si>
    <t>20일</t>
  </si>
  <si>
    <t>관리비 및 공과금</t>
  </si>
  <si>
    <t>통신/인터넷</t>
  </si>
  <si>
    <t>15일</t>
  </si>
  <si>
    <t>휴대폰 및 인터넷</t>
  </si>
  <si>
    <t>보장성보험</t>
  </si>
  <si>
    <t>10일</t>
  </si>
  <si>
    <t>실비 및 암보험</t>
  </si>
  <si>
    <t>대출원리금</t>
  </si>
  <si>
    <t>주택담보/신용대출</t>
  </si>
  <si>
    <t>구독/회비</t>
  </si>
  <si>
    <t>1일</t>
  </si>
  <si>
    <t>OTT/멤버십</t>
  </si>
  <si>
    <t>2027년 연간 가계부 대시보드</t>
  </si>
  <si>
    <t>기타정기지출</t>
  </si>
  <si>
    <t>기타 정기출금</t>
  </si>
  <si>
    <t>고정지출 합계</t>
  </si>
  <si>
    <t>월</t>
  </si>
  <si>
    <t>총 수입(원)</t>
  </si>
  <si>
    <t>고정 지출(원)</t>
  </si>
  <si>
    <t>변동 지출(원)</t>
  </si>
  <si>
    <t>총 지출(원)</t>
  </si>
  <si>
    <t>저축/투자(원)</t>
  </si>
  <si>
    <t>당월 잔액(원)</t>
  </si>
  <si>
    <t>저축률</t>
  </si>
  <si>
    <t>1월</t>
  </si>
  <si>
    <t>[저축 및 투자]</t>
  </si>
  <si>
    <t>납입일</t>
  </si>
  <si>
    <t>금융기관/내용</t>
  </si>
  <si>
    <t>정기적금/예금</t>
  </si>
  <si>
    <t>목돈 마련 적금</t>
  </si>
  <si>
    <t>변동지출 합계</t>
  </si>
  <si>
    <t>연금저축/IRP</t>
  </si>
  <si>
    <t>세액공제 연금</t>
  </si>
  <si>
    <t>주식/ETF투자</t>
  </si>
  <si>
    <t>적립식 투자</t>
  </si>
  <si>
    <t>구분</t>
  </si>
  <si>
    <t>비상금적립</t>
  </si>
  <si>
    <t>CMA 파킹통장</t>
  </si>
  <si>
    <t>수입</t>
  </si>
  <si>
    <t>저축/투자 합계</t>
  </si>
  <si>
    <t>지출</t>
  </si>
  <si>
    <t>저축</t>
  </si>
  <si>
    <t>[1월 재무 요약]</t>
  </si>
  <si>
    <t>총 수입</t>
  </si>
  <si>
    <t>고정 지출</t>
  </si>
  <si>
    <t>2월</t>
  </si>
  <si>
    <t>변동 지출</t>
  </si>
  <si>
    <t>총 지출</t>
  </si>
  <si>
    <t>저축 및 투자</t>
  </si>
  <si>
    <t>당월 잔액(잉여금)</t>
  </si>
  <si>
    <t>3월</t>
  </si>
  <si>
    <t>4월</t>
  </si>
  <si>
    <t>5월</t>
  </si>
  <si>
    <t>6월</t>
  </si>
  <si>
    <t>7월</t>
  </si>
  <si>
    <t>2027년 2월 가계부</t>
  </si>
  <si>
    <t>8월</t>
  </si>
  <si>
    <t>2027-02-03</t>
  </si>
  <si>
    <t>9월</t>
  </si>
  <si>
    <t>2027-02-05</t>
  </si>
  <si>
    <t>2027-02-08</t>
  </si>
  <si>
    <t>2027-02-12</t>
  </si>
  <si>
    <t>10월</t>
  </si>
  <si>
    <t>2027-02-15</t>
  </si>
  <si>
    <t>2027-02-20</t>
  </si>
  <si>
    <t>11월</t>
  </si>
  <si>
    <t>2027년 3월 가계부</t>
  </si>
  <si>
    <t>12월</t>
  </si>
  <si>
    <t>2027-03-03</t>
  </si>
  <si>
    <t>2027-03-05</t>
  </si>
  <si>
    <t>연간 합계</t>
  </si>
  <si>
    <t>2027-03-08</t>
  </si>
  <si>
    <t>2027-03-12</t>
  </si>
  <si>
    <t>월평균</t>
  </si>
  <si>
    <t>2027-03-15</t>
  </si>
  <si>
    <t>2027-03-20</t>
  </si>
  <si>
    <t>[2월 재무 요약]</t>
  </si>
  <si>
    <t>[3월 재무 요약]</t>
  </si>
  <si>
    <t>2027년 4월 가계부</t>
  </si>
  <si>
    <t>2027-04-03</t>
  </si>
  <si>
    <t>2027-04-05</t>
  </si>
  <si>
    <t>2027-04-08</t>
  </si>
  <si>
    <t>2027-04-12</t>
  </si>
  <si>
    <t>2027-04-15</t>
  </si>
  <si>
    <t>2027-04-20</t>
  </si>
  <si>
    <t>[4월 재무 요약]</t>
  </si>
  <si>
    <t>2027년 5월 가계부</t>
  </si>
  <si>
    <t>2027-05-03</t>
  </si>
  <si>
    <t>2027-05-05</t>
  </si>
  <si>
    <t>2027-05-08</t>
  </si>
  <si>
    <t>2027-05-12</t>
  </si>
  <si>
    <t>2027-05-15</t>
  </si>
  <si>
    <t>2027-05-20</t>
  </si>
  <si>
    <t>2027년 6월 가계부</t>
  </si>
  <si>
    <t>[5월 재무 요약]</t>
  </si>
  <si>
    <t>2027-06-03</t>
  </si>
  <si>
    <t>2027-06-05</t>
  </si>
  <si>
    <t>2027-06-08</t>
  </si>
  <si>
    <t>2027-06-12</t>
  </si>
  <si>
    <t>2027-06-15</t>
  </si>
  <si>
    <t>2027-06-20</t>
  </si>
  <si>
    <t>2027년 7월 가계부</t>
  </si>
  <si>
    <t>2027-07-03</t>
  </si>
  <si>
    <t>2027-07-05</t>
  </si>
  <si>
    <t>2027-07-08</t>
  </si>
  <si>
    <t>2027-07-12</t>
  </si>
  <si>
    <t>2027-07-15</t>
  </si>
  <si>
    <t>2027-07-20</t>
  </si>
  <si>
    <t>[6월 재무 요약]</t>
  </si>
  <si>
    <t>[7월 재무 요약]</t>
  </si>
  <si>
    <t>2027년 8월 가계부</t>
  </si>
  <si>
    <t>2027-08-03</t>
  </si>
  <si>
    <t>2027-08-05</t>
  </si>
  <si>
    <t>2027-08-08</t>
  </si>
  <si>
    <t>2027-08-12</t>
  </si>
  <si>
    <t>2027-08-15</t>
  </si>
  <si>
    <t>2027-08-20</t>
  </si>
  <si>
    <t>[8월 재무 요약]</t>
  </si>
  <si>
    <t>2027년 9월 가계부</t>
  </si>
  <si>
    <t>2027-09-03</t>
  </si>
  <si>
    <t>2027-09-05</t>
  </si>
  <si>
    <t>2027-09-08</t>
  </si>
  <si>
    <t>2027-09-12</t>
  </si>
  <si>
    <t>2027-09-15</t>
  </si>
  <si>
    <t>2027-09-20</t>
  </si>
  <si>
    <t>2027년 10월 가계부</t>
  </si>
  <si>
    <t>2027-10-03</t>
  </si>
  <si>
    <t>2027-10-05</t>
  </si>
  <si>
    <t>2027-10-08</t>
  </si>
  <si>
    <t>2027-10-12</t>
  </si>
  <si>
    <t>2027-10-15</t>
  </si>
  <si>
    <t>2027-10-20</t>
  </si>
  <si>
    <t>[9월 재무 요약]</t>
  </si>
  <si>
    <t>2027년 11월 가계부</t>
  </si>
  <si>
    <t>2027-11-03</t>
  </si>
  <si>
    <t>2027-11-05</t>
  </si>
  <si>
    <t>2027-11-08</t>
  </si>
  <si>
    <t>2027-11-12</t>
  </si>
  <si>
    <t>[10월 재무 요약]</t>
  </si>
  <si>
    <t>2027-11-15</t>
  </si>
  <si>
    <t>2027-11-20</t>
  </si>
  <si>
    <t>[11월 재무 요약]</t>
  </si>
  <si>
    <t>2027년 12월 가계부</t>
  </si>
  <si>
    <t>2027-12-03</t>
  </si>
  <si>
    <t>2027-12-05</t>
  </si>
  <si>
    <t>2027-12-08</t>
  </si>
  <si>
    <t>2027-12-12</t>
  </si>
  <si>
    <t>2027-12-15</t>
  </si>
  <si>
    <t>2027-12-20</t>
  </si>
  <si>
    <t>[12월 재무 요약]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</si>
</sst>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6.0"/>
      <color rgb="FF1F497D"/>
      <name val="Malgun Gothic"/>
    </font>
    <font>
      <b/>
      <sz val="11.0"/>
      <color rgb="FF1F497D"/>
      <name val="Malgun Gothic"/>
    </font>
    <font>
      <b/>
      <sz val="10.0"/>
      <color rgb="FFFFFFFF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/>
  </fonts>
  <fills count="7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4" numFmtId="3" xfId="0" applyAlignment="1" applyBorder="1" applyFont="1" applyNumberFormat="1">
      <alignment horizontal="right" vertical="center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1" fillId="3" fontId="5" numFmtId="3" xfId="0" applyAlignment="1" applyBorder="1" applyFill="1" applyFont="1" applyNumberFormat="1">
      <alignment horizontal="right" vertical="center"/>
    </xf>
    <xf borderId="2" fillId="4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4" fontId="5" numFmtId="3" xfId="0" applyAlignment="1" applyBorder="1" applyFill="1" applyFont="1" applyNumberFormat="1">
      <alignment horizontal="right" vertical="center"/>
    </xf>
    <xf borderId="5" fillId="2" fontId="3" numFmtId="0" xfId="0" applyAlignment="1" applyBorder="1" applyFill="1" applyFont="1">
      <alignment horizontal="center" vertical="center"/>
    </xf>
    <xf borderId="1" fillId="0" fontId="5" numFmtId="3" xfId="0" applyAlignment="1" applyBorder="1" applyFont="1" applyNumberFormat="1">
      <alignment horizontal="right" vertical="center"/>
    </xf>
    <xf borderId="2" fillId="5" fontId="5" numFmtId="0" xfId="0" applyAlignment="1" applyBorder="1" applyFill="1" applyFont="1">
      <alignment horizontal="center" vertical="center"/>
    </xf>
    <xf borderId="1" fillId="5" fontId="5" numFmtId="3" xfId="0" applyAlignment="1" applyBorder="1" applyFill="1" applyFont="1" applyNumberFormat="1">
      <alignment horizontal="right" vertical="center"/>
    </xf>
    <xf borderId="1" fillId="6" fontId="5" numFmtId="0" xfId="0" applyAlignment="1" applyBorder="1" applyFill="1" applyFont="1">
      <alignment horizontal="center" vertical="center"/>
    </xf>
    <xf borderId="1" fillId="0" fontId="4" numFmtId="164" xfId="0" applyAlignment="1" applyBorder="1" applyFont="1" applyNumberFormat="1">
      <alignment horizontal="right" vertical="center"/>
    </xf>
    <xf borderId="6" fillId="3" fontId="5" numFmtId="0" xfId="0" applyAlignment="1" applyBorder="1" applyFill="1" applyFont="1">
      <alignment horizontal="center" vertical="center"/>
    </xf>
    <xf borderId="6" fillId="3" fontId="5" numFmtId="3" xfId="0" applyAlignment="1" applyBorder="1" applyFill="1" applyFont="1" applyNumberFormat="1">
      <alignment horizontal="right" vertical="center"/>
    </xf>
    <xf borderId="6" fillId="3" fontId="5" numFmtId="164" xfId="0" applyAlignment="1" applyBorder="1" applyFill="1" applyFont="1" applyNumberFormat="1">
      <alignment horizontal="right" vertical="center"/>
    </xf>
    <xf borderId="1" fillId="6" fontId="5" numFmtId="3" xfId="0" applyAlignment="1" applyBorder="1" applyFill="1" applyFont="1" applyNumberFormat="1">
      <alignment horizontal="right" vertical="center"/>
    </xf>
    <xf borderId="1" fillId="6" fontId="5" numFmtId="164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2027년 월별 수입 vs 지출 vs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'연간 대시보드'!$C$4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'연간 대시보드'!$B$5:$B$16</c:f>
            </c:strRef>
          </c:cat>
          <c:val>
            <c:numRef>
              <c:f>'연간 대시보드'!$C$5:$C$16</c:f>
              <c:numCache/>
            </c:numRef>
          </c:val>
        </c:ser>
        <c:ser>
          <c:idx val="1"/>
          <c:order val="1"/>
          <c:tx>
            <c:strRef>
              <c:f>'연간 대시보드'!$F$4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'연간 대시보드'!$B$5:$B$16</c:f>
            </c:strRef>
          </c:cat>
          <c:val>
            <c:numRef>
              <c:f>'연간 대시보드'!$F$5:$F$16</c:f>
              <c:numCache/>
            </c:numRef>
          </c:val>
        </c:ser>
        <c:ser>
          <c:idx val="2"/>
          <c:order val="2"/>
          <c:tx>
            <c:strRef>
              <c:f>'연간 대시보드'!$G$4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'연간 대시보드'!$B$5:$B$16</c:f>
            </c:strRef>
          </c:cat>
          <c:val>
            <c:numRef>
              <c:f>'연간 대시보드'!$G$5:$G$16</c:f>
              <c:numCache/>
            </c:numRef>
          </c:val>
        </c:ser>
        <c:axId val="1929874526"/>
        <c:axId val="699933481"/>
      </c:barChart>
      <c:catAx>
        <c:axId val="1929874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월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933481"/>
      </c:catAx>
      <c:valAx>
        <c:axId val="699933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874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2027년 월별 저축률 및 당월 잔액 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'연간 대시보드'!$H$4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'연간 대시보드'!$B$5:$B$16</c:f>
            </c:strRef>
          </c:cat>
          <c:val>
            <c:numRef>
              <c:f>'연간 대시보드'!$H$5:$H$16</c:f>
              <c:numCache/>
            </c:numRef>
          </c:val>
          <c:smooth val="0"/>
        </c:ser>
        <c:axId val="376520662"/>
        <c:axId val="306906917"/>
      </c:lineChart>
      <c:catAx>
        <c:axId val="376520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월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906917"/>
      </c:catAx>
      <c:valAx>
        <c:axId val="306906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520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1월 수입 · 지출 ·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'1월'!$H$26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'1월'!$G$27:$G$29</c:f>
            </c:strRef>
          </c:cat>
          <c:val>
            <c:numRef>
              <c:f>'1월'!$H$27:$H$29</c:f>
              <c:numCache/>
            </c:numRef>
          </c:val>
        </c:ser>
        <c:axId val="1664257994"/>
        <c:axId val="1288309509"/>
      </c:barChart>
      <c:catAx>
        <c:axId val="1664257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309509"/>
      </c:catAx>
      <c:valAx>
        <c:axId val="1288309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25799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2월 수입 · 지출 ·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'2월'!$H$26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'2월'!$G$27:$G$29</c:f>
            </c:strRef>
          </c:cat>
          <c:val>
            <c:numRef>
              <c:f>'2월'!$H$27:$H$29</c:f>
              <c:numCache/>
            </c:numRef>
          </c:val>
        </c:ser>
        <c:axId val="1065360181"/>
        <c:axId val="504336258"/>
      </c:barChart>
      <c:catAx>
        <c:axId val="1065360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336258"/>
      </c:catAx>
      <c:valAx>
        <c:axId val="504336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360181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3월 수입 · 지출 ·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'3월'!$H$26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'3월'!$G$27:$G$29</c:f>
            </c:strRef>
          </c:cat>
          <c:val>
            <c:numRef>
              <c:f>'3월'!$H$27:$H$29</c:f>
              <c:numCache/>
            </c:numRef>
          </c:val>
        </c:ser>
        <c:axId val="1263950847"/>
        <c:axId val="57214637"/>
      </c:barChart>
      <c:catAx>
        <c:axId val="1263950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214637"/>
      </c:catAx>
      <c:valAx>
        <c:axId val="57214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950847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4월 수입 · 지출 ·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'4월'!$H$26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'4월'!$G$27:$G$29</c:f>
            </c:strRef>
          </c:cat>
          <c:val>
            <c:numRef>
              <c:f>'4월'!$H$27:$H$29</c:f>
              <c:numCache/>
            </c:numRef>
          </c:val>
        </c:ser>
        <c:axId val="751078147"/>
        <c:axId val="1749225650"/>
      </c:barChart>
      <c:catAx>
        <c:axId val="751078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225650"/>
      </c:catAx>
      <c:valAx>
        <c:axId val="1749225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07814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5월 수입 · 지출 ·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'5월'!$H$26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'5월'!$G$27:$G$29</c:f>
            </c:strRef>
          </c:cat>
          <c:val>
            <c:numRef>
              <c:f>'5월'!$H$27:$H$29</c:f>
              <c:numCache/>
            </c:numRef>
          </c:val>
        </c:ser>
        <c:axId val="1155224315"/>
        <c:axId val="35742391"/>
      </c:barChart>
      <c:catAx>
        <c:axId val="1155224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42391"/>
      </c:catAx>
      <c:valAx>
        <c:axId val="35742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224315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6월 수입 · 지출 ·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'6월'!$H$26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'6월'!$G$27:$G$29</c:f>
            </c:strRef>
          </c:cat>
          <c:val>
            <c:numRef>
              <c:f>'6월'!$H$27:$H$29</c:f>
              <c:numCache/>
            </c:numRef>
          </c:val>
        </c:ser>
        <c:axId val="272147222"/>
        <c:axId val="75872562"/>
      </c:barChart>
      <c:catAx>
        <c:axId val="272147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72562"/>
      </c:catAx>
      <c:valAx>
        <c:axId val="75872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147222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7월 수입 · 지출 ·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'7월'!$H$26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'7월'!$G$27:$G$29</c:f>
            </c:strRef>
          </c:cat>
          <c:val>
            <c:numRef>
              <c:f>'7월'!$H$27:$H$29</c:f>
              <c:numCache/>
            </c:numRef>
          </c:val>
        </c:ser>
        <c:axId val="1323023510"/>
        <c:axId val="1110716526"/>
      </c:barChart>
      <c:catAx>
        <c:axId val="1323023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0716526"/>
      </c:catAx>
      <c:valAx>
        <c:axId val="1110716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023510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8월 수입 · 지출 ·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'8월'!$H$26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'8월'!$G$27:$G$29</c:f>
            </c:strRef>
          </c:cat>
          <c:val>
            <c:numRef>
              <c:f>'8월'!$H$27:$H$29</c:f>
              <c:numCache/>
            </c:numRef>
          </c:val>
        </c:ser>
        <c:axId val="1850738407"/>
        <c:axId val="928080128"/>
      </c:barChart>
      <c:catAx>
        <c:axId val="1850738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8080128"/>
      </c:catAx>
      <c:valAx>
        <c:axId val="928080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738407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9월 수입 · 지출 ·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'9월'!$H$26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'9월'!$G$27:$G$29</c:f>
            </c:strRef>
          </c:cat>
          <c:val>
            <c:numRef>
              <c:f>'9월'!$H$27:$H$29</c:f>
              <c:numCache/>
            </c:numRef>
          </c:val>
        </c:ser>
        <c:axId val="9685545"/>
        <c:axId val="716866318"/>
      </c:barChart>
      <c:catAx>
        <c:axId val="9685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866318"/>
      </c:catAx>
      <c:valAx>
        <c:axId val="716866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5545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10월 수입 · 지출 ·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'10월'!$H$26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'10월'!$G$27:$G$29</c:f>
            </c:strRef>
          </c:cat>
          <c:val>
            <c:numRef>
              <c:f>'10월'!$H$27:$H$29</c:f>
              <c:numCache/>
            </c:numRef>
          </c:val>
        </c:ser>
        <c:axId val="860689547"/>
        <c:axId val="630181906"/>
      </c:barChart>
      <c:catAx>
        <c:axId val="860689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181906"/>
      </c:catAx>
      <c:valAx>
        <c:axId val="630181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689547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11월 수입 · 지출 ·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'11월'!$H$26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'11월'!$G$27:$G$29</c:f>
            </c:strRef>
          </c:cat>
          <c:val>
            <c:numRef>
              <c:f>'11월'!$H$27:$H$29</c:f>
              <c:numCache/>
            </c:numRef>
          </c:val>
        </c:ser>
        <c:axId val="217820607"/>
        <c:axId val="300139937"/>
      </c:barChart>
      <c:catAx>
        <c:axId val="217820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139937"/>
      </c:catAx>
      <c:valAx>
        <c:axId val="300139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820607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12월 수입 · 지출 · 저축 현황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'12월'!$H$26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'12월'!$G$27:$G$29</c:f>
            </c:strRef>
          </c:cat>
          <c:val>
            <c:numRef>
              <c:f>'12월'!$H$27:$H$29</c:f>
              <c:numCache/>
            </c:numRef>
          </c:val>
        </c:ser>
        <c:axId val="949890747"/>
        <c:axId val="834098167"/>
      </c:barChart>
      <c:catAx>
        <c:axId val="949890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항목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098167"/>
      </c:catAx>
      <c:valAx>
        <c:axId val="834098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금액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89074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0</xdr:rowOff>
    </xdr:from>
    <xdr:ext cx="6477000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19</xdr:row>
      <xdr:rowOff>0</xdr:rowOff>
    </xdr:from>
    <xdr:ext cx="6477000" cy="3590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5038725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5038725" cy="25146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5038725" cy="25146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5038725" cy="25146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5038725" cy="25146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5038725" cy="25146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5038725" cy="251460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5038725" cy="251460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5038725" cy="251460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5038725" cy="25146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5038725" cy="251460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5038725" cy="25146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15.0"/>
    <col customWidth="1" min="4" max="5" width="14.0"/>
    <col customWidth="1" min="6" max="8" width="15.0"/>
    <col customWidth="1" min="9" max="9" width="12.0"/>
    <col customWidth="1" min="10" max="26" width="8.71"/>
  </cols>
  <sheetData>
    <row r="2">
      <c r="B2" s="1" t="s">
        <v>60</v>
      </c>
    </row>
    <row r="4"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</row>
    <row r="5">
      <c r="B5" s="12" t="s">
        <v>72</v>
      </c>
      <c r="C5" s="6">
        <f>'1월'!C31</f>
        <v>4000000</v>
      </c>
      <c r="D5" s="6">
        <f>'1월'!C32</f>
        <v>1200000</v>
      </c>
      <c r="E5" s="6">
        <f>'1월'!C33</f>
        <v>420000</v>
      </c>
      <c r="F5" s="6">
        <f t="shared" ref="F5:F16" si="1">D5+E5</f>
        <v>1620000</v>
      </c>
      <c r="G5" s="6">
        <f>'1월'!C35</f>
        <v>2200000</v>
      </c>
      <c r="H5" s="6">
        <f t="shared" ref="H5:H16" si="2">C5-F5-G5</f>
        <v>180000</v>
      </c>
      <c r="I5" s="19">
        <f t="shared" ref="I5:I17" si="3">IF(C5&gt;0, G5/C5, 0)</f>
        <v>0.55</v>
      </c>
    </row>
    <row r="6">
      <c r="B6" s="12" t="s">
        <v>93</v>
      </c>
      <c r="C6" s="6">
        <f>'2월'!C31</f>
        <v>4000000</v>
      </c>
      <c r="D6" s="6">
        <f>'2월'!C32</f>
        <v>1200000</v>
      </c>
      <c r="E6" s="6">
        <f>'2월'!C33</f>
        <v>420000</v>
      </c>
      <c r="F6" s="6">
        <f t="shared" si="1"/>
        <v>1620000</v>
      </c>
      <c r="G6" s="6">
        <f>'2월'!C35</f>
        <v>2200000</v>
      </c>
      <c r="H6" s="6">
        <f t="shared" si="2"/>
        <v>180000</v>
      </c>
      <c r="I6" s="19">
        <f t="shared" si="3"/>
        <v>0.55</v>
      </c>
    </row>
    <row r="7">
      <c r="B7" s="12" t="s">
        <v>98</v>
      </c>
      <c r="C7" s="6">
        <f>'3월'!C31</f>
        <v>4000000</v>
      </c>
      <c r="D7" s="6">
        <f>'3월'!C32</f>
        <v>1200000</v>
      </c>
      <c r="E7" s="6">
        <f>'3월'!C33</f>
        <v>420000</v>
      </c>
      <c r="F7" s="6">
        <f t="shared" si="1"/>
        <v>1620000</v>
      </c>
      <c r="G7" s="6">
        <f>'3월'!C35</f>
        <v>2200000</v>
      </c>
      <c r="H7" s="6">
        <f t="shared" si="2"/>
        <v>180000</v>
      </c>
      <c r="I7" s="19">
        <f t="shared" si="3"/>
        <v>0.55</v>
      </c>
    </row>
    <row r="8">
      <c r="B8" s="12" t="s">
        <v>99</v>
      </c>
      <c r="C8" s="6">
        <f>'4월'!C31</f>
        <v>4000000</v>
      </c>
      <c r="D8" s="6">
        <f>'4월'!C32</f>
        <v>1200000</v>
      </c>
      <c r="E8" s="6">
        <f>'4월'!C33</f>
        <v>420000</v>
      </c>
      <c r="F8" s="6">
        <f t="shared" si="1"/>
        <v>1620000</v>
      </c>
      <c r="G8" s="6">
        <f>'4월'!C35</f>
        <v>2200000</v>
      </c>
      <c r="H8" s="6">
        <f t="shared" si="2"/>
        <v>180000</v>
      </c>
      <c r="I8" s="19">
        <f t="shared" si="3"/>
        <v>0.55</v>
      </c>
    </row>
    <row r="9">
      <c r="B9" s="12" t="s">
        <v>100</v>
      </c>
      <c r="C9" s="6">
        <f>'5월'!C31</f>
        <v>4000000</v>
      </c>
      <c r="D9" s="6">
        <f>'5월'!C32</f>
        <v>1200000</v>
      </c>
      <c r="E9" s="6">
        <f>'5월'!C33</f>
        <v>420000</v>
      </c>
      <c r="F9" s="6">
        <f t="shared" si="1"/>
        <v>1620000</v>
      </c>
      <c r="G9" s="6">
        <f>'5월'!C35</f>
        <v>2200000</v>
      </c>
      <c r="H9" s="6">
        <f t="shared" si="2"/>
        <v>180000</v>
      </c>
      <c r="I9" s="19">
        <f t="shared" si="3"/>
        <v>0.55</v>
      </c>
    </row>
    <row r="10">
      <c r="B10" s="12" t="s">
        <v>101</v>
      </c>
      <c r="C10" s="6">
        <f>'6월'!C31</f>
        <v>4000000</v>
      </c>
      <c r="D10" s="6">
        <f>'6월'!C32</f>
        <v>1200000</v>
      </c>
      <c r="E10" s="6">
        <f>'6월'!C33</f>
        <v>420000</v>
      </c>
      <c r="F10" s="6">
        <f t="shared" si="1"/>
        <v>1620000</v>
      </c>
      <c r="G10" s="6">
        <f>'6월'!C35</f>
        <v>2200000</v>
      </c>
      <c r="H10" s="6">
        <f t="shared" si="2"/>
        <v>180000</v>
      </c>
      <c r="I10" s="19">
        <f t="shared" si="3"/>
        <v>0.55</v>
      </c>
    </row>
    <row r="11">
      <c r="B11" s="12" t="s">
        <v>102</v>
      </c>
      <c r="C11" s="6">
        <f>'7월'!C31</f>
        <v>4000000</v>
      </c>
      <c r="D11" s="6">
        <f>'7월'!C32</f>
        <v>1200000</v>
      </c>
      <c r="E11" s="6">
        <f>'7월'!C33</f>
        <v>420000</v>
      </c>
      <c r="F11" s="6">
        <f t="shared" si="1"/>
        <v>1620000</v>
      </c>
      <c r="G11" s="6">
        <f>'7월'!C35</f>
        <v>2200000</v>
      </c>
      <c r="H11" s="6">
        <f t="shared" si="2"/>
        <v>180000</v>
      </c>
      <c r="I11" s="19">
        <f t="shared" si="3"/>
        <v>0.55</v>
      </c>
    </row>
    <row r="12">
      <c r="B12" s="12" t="s">
        <v>104</v>
      </c>
      <c r="C12" s="6">
        <f>'8월'!C31</f>
        <v>4000000</v>
      </c>
      <c r="D12" s="6">
        <f>'8월'!C32</f>
        <v>1200000</v>
      </c>
      <c r="E12" s="6">
        <f>'8월'!C33</f>
        <v>420000</v>
      </c>
      <c r="F12" s="6">
        <f t="shared" si="1"/>
        <v>1620000</v>
      </c>
      <c r="G12" s="6">
        <f>'8월'!C35</f>
        <v>2200000</v>
      </c>
      <c r="H12" s="6">
        <f t="shared" si="2"/>
        <v>180000</v>
      </c>
      <c r="I12" s="19">
        <f t="shared" si="3"/>
        <v>0.55</v>
      </c>
    </row>
    <row r="13">
      <c r="B13" s="12" t="s">
        <v>106</v>
      </c>
      <c r="C13" s="6">
        <f>'9월'!C31</f>
        <v>4000000</v>
      </c>
      <c r="D13" s="6">
        <f>'9월'!C32</f>
        <v>1200000</v>
      </c>
      <c r="E13" s="6">
        <f>'9월'!C33</f>
        <v>420000</v>
      </c>
      <c r="F13" s="6">
        <f t="shared" si="1"/>
        <v>1620000</v>
      </c>
      <c r="G13" s="6">
        <f>'9월'!C35</f>
        <v>2200000</v>
      </c>
      <c r="H13" s="6">
        <f t="shared" si="2"/>
        <v>180000</v>
      </c>
      <c r="I13" s="19">
        <f t="shared" si="3"/>
        <v>0.55</v>
      </c>
    </row>
    <row r="14">
      <c r="B14" s="12" t="s">
        <v>110</v>
      </c>
      <c r="C14" s="6">
        <f>'10월'!C31</f>
        <v>4000000</v>
      </c>
      <c r="D14" s="6">
        <f>'10월'!C32</f>
        <v>1200000</v>
      </c>
      <c r="E14" s="6">
        <f>'10월'!C33</f>
        <v>420000</v>
      </c>
      <c r="F14" s="6">
        <f t="shared" si="1"/>
        <v>1620000</v>
      </c>
      <c r="G14" s="6">
        <f>'10월'!C35</f>
        <v>2200000</v>
      </c>
      <c r="H14" s="6">
        <f t="shared" si="2"/>
        <v>180000</v>
      </c>
      <c r="I14" s="19">
        <f t="shared" si="3"/>
        <v>0.55</v>
      </c>
    </row>
    <row r="15">
      <c r="B15" s="12" t="s">
        <v>113</v>
      </c>
      <c r="C15" s="6">
        <f>'11월'!C31</f>
        <v>4000000</v>
      </c>
      <c r="D15" s="6">
        <f>'11월'!C32</f>
        <v>1200000</v>
      </c>
      <c r="E15" s="6">
        <f>'11월'!C33</f>
        <v>420000</v>
      </c>
      <c r="F15" s="6">
        <f t="shared" si="1"/>
        <v>1620000</v>
      </c>
      <c r="G15" s="6">
        <f>'11월'!C35</f>
        <v>2200000</v>
      </c>
      <c r="H15" s="6">
        <f t="shared" si="2"/>
        <v>180000</v>
      </c>
      <c r="I15" s="19">
        <f t="shared" si="3"/>
        <v>0.55</v>
      </c>
    </row>
    <row r="16">
      <c r="B16" s="12" t="s">
        <v>115</v>
      </c>
      <c r="C16" s="6">
        <f>'12월'!C31</f>
        <v>4000000</v>
      </c>
      <c r="D16" s="6">
        <f>'12월'!C32</f>
        <v>1200000</v>
      </c>
      <c r="E16" s="6">
        <f>'12월'!C33</f>
        <v>420000</v>
      </c>
      <c r="F16" s="6">
        <f t="shared" si="1"/>
        <v>1620000</v>
      </c>
      <c r="G16" s="6">
        <f>'12월'!C35</f>
        <v>2200000</v>
      </c>
      <c r="H16" s="6">
        <f t="shared" si="2"/>
        <v>180000</v>
      </c>
      <c r="I16" s="19">
        <f t="shared" si="3"/>
        <v>0.55</v>
      </c>
    </row>
    <row r="17">
      <c r="B17" s="20" t="s">
        <v>118</v>
      </c>
      <c r="C17" s="21">
        <f t="shared" ref="C17:H17" si="4">SUM(C5:C16)</f>
        <v>48000000</v>
      </c>
      <c r="D17" s="21">
        <f t="shared" si="4"/>
        <v>14400000</v>
      </c>
      <c r="E17" s="21">
        <f t="shared" si="4"/>
        <v>5040000</v>
      </c>
      <c r="F17" s="21">
        <f t="shared" si="4"/>
        <v>19440000</v>
      </c>
      <c r="G17" s="21">
        <f t="shared" si="4"/>
        <v>26400000</v>
      </c>
      <c r="H17" s="21">
        <f t="shared" si="4"/>
        <v>2160000</v>
      </c>
      <c r="I17" s="22">
        <f t="shared" si="3"/>
        <v>0.55</v>
      </c>
    </row>
    <row r="18">
      <c r="B18" s="18" t="s">
        <v>121</v>
      </c>
      <c r="C18" s="23">
        <f t="shared" ref="C18:I18" si="5">AVERAGE(C5:C16)</f>
        <v>4000000</v>
      </c>
      <c r="D18" s="23">
        <f t="shared" si="5"/>
        <v>1200000</v>
      </c>
      <c r="E18" s="23">
        <f t="shared" si="5"/>
        <v>420000</v>
      </c>
      <c r="F18" s="23">
        <f t="shared" si="5"/>
        <v>1620000</v>
      </c>
      <c r="G18" s="23">
        <f t="shared" si="5"/>
        <v>2200000</v>
      </c>
      <c r="H18" s="23">
        <f t="shared" si="5"/>
        <v>180000</v>
      </c>
      <c r="I18" s="24">
        <f t="shared" si="5"/>
        <v>0.55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0.0"/>
    <col customWidth="1" min="4" max="4" width="18.0"/>
    <col customWidth="1" min="5" max="5" width="14.0"/>
    <col customWidth="1" min="6" max="6" width="3.0"/>
    <col customWidth="1" min="7" max="8" width="12.0"/>
    <col customWidth="1" min="9" max="9" width="18.0"/>
    <col customWidth="1" min="10" max="10" width="12.0"/>
    <col customWidth="1" min="11" max="12" width="14.0"/>
    <col customWidth="1" min="13" max="26" width="8.71"/>
  </cols>
  <sheetData>
    <row r="2">
      <c r="B2" s="1" t="s">
        <v>0</v>
      </c>
    </row>
    <row r="4">
      <c r="B4" s="2" t="s">
        <v>1</v>
      </c>
      <c r="G4" s="2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6</v>
      </c>
      <c r="L5" s="3" t="s">
        <v>11</v>
      </c>
    </row>
    <row r="6">
      <c r="B6" s="4" t="s">
        <v>12</v>
      </c>
      <c r="C6" s="4" t="s">
        <v>13</v>
      </c>
      <c r="D6" s="5" t="s">
        <v>14</v>
      </c>
      <c r="E6" s="6">
        <v>4000000.0</v>
      </c>
      <c r="G6" s="4" t="s">
        <v>15</v>
      </c>
      <c r="H6" s="4" t="s">
        <v>16</v>
      </c>
      <c r="I6" s="5" t="s">
        <v>17</v>
      </c>
      <c r="J6" s="4" t="s">
        <v>18</v>
      </c>
      <c r="K6" s="6">
        <v>150000.0</v>
      </c>
      <c r="L6" s="5"/>
    </row>
    <row r="7">
      <c r="B7" s="4" t="s">
        <v>19</v>
      </c>
      <c r="C7" s="4" t="s">
        <v>20</v>
      </c>
      <c r="D7" s="5" t="s">
        <v>21</v>
      </c>
      <c r="E7" s="6">
        <v>0.0</v>
      </c>
      <c r="G7" s="4" t="s">
        <v>22</v>
      </c>
      <c r="H7" s="4" t="s">
        <v>23</v>
      </c>
      <c r="I7" s="5" t="s">
        <v>24</v>
      </c>
      <c r="J7" s="4" t="s">
        <v>18</v>
      </c>
      <c r="K7" s="6">
        <v>80000.0</v>
      </c>
      <c r="L7" s="5"/>
    </row>
    <row r="8">
      <c r="B8" s="4" t="s">
        <v>25</v>
      </c>
      <c r="C8" s="4" t="s">
        <v>20</v>
      </c>
      <c r="D8" s="5" t="s">
        <v>26</v>
      </c>
      <c r="E8" s="6">
        <v>0.0</v>
      </c>
      <c r="G8" s="4" t="s">
        <v>27</v>
      </c>
      <c r="H8" s="4" t="s">
        <v>28</v>
      </c>
      <c r="I8" s="5" t="s">
        <v>29</v>
      </c>
      <c r="J8" s="4" t="s">
        <v>30</v>
      </c>
      <c r="K8" s="6">
        <v>70000.0</v>
      </c>
      <c r="L8" s="5"/>
    </row>
    <row r="9">
      <c r="B9" s="4" t="s">
        <v>31</v>
      </c>
      <c r="C9" s="4" t="s">
        <v>20</v>
      </c>
      <c r="D9" s="5" t="s">
        <v>32</v>
      </c>
      <c r="E9" s="6">
        <v>0.0</v>
      </c>
      <c r="G9" s="4" t="s">
        <v>33</v>
      </c>
      <c r="H9" s="4" t="s">
        <v>34</v>
      </c>
      <c r="I9" s="5" t="s">
        <v>35</v>
      </c>
      <c r="J9" s="4" t="s">
        <v>18</v>
      </c>
      <c r="K9" s="6">
        <v>50000.0</v>
      </c>
      <c r="L9" s="5"/>
    </row>
    <row r="10">
      <c r="B10" s="7" t="s">
        <v>36</v>
      </c>
      <c r="C10" s="8"/>
      <c r="D10" s="9"/>
      <c r="E10" s="10">
        <f>SUM(E6:E9)</f>
        <v>4000000</v>
      </c>
      <c r="G10" s="4" t="s">
        <v>37</v>
      </c>
      <c r="H10" s="4" t="s">
        <v>38</v>
      </c>
      <c r="I10" s="5" t="s">
        <v>39</v>
      </c>
      <c r="J10" s="4" t="s">
        <v>18</v>
      </c>
      <c r="K10" s="6">
        <v>40000.0</v>
      </c>
      <c r="L10" s="5"/>
    </row>
    <row r="11">
      <c r="G11" s="4" t="s">
        <v>40</v>
      </c>
      <c r="H11" s="4" t="s">
        <v>41</v>
      </c>
      <c r="I11" s="5" t="s">
        <v>42</v>
      </c>
      <c r="J11" s="4" t="s">
        <v>30</v>
      </c>
      <c r="K11" s="6">
        <v>30000.0</v>
      </c>
      <c r="L11" s="5"/>
    </row>
    <row r="12">
      <c r="B12" s="2" t="s">
        <v>43</v>
      </c>
      <c r="G12" s="4"/>
      <c r="H12" s="4"/>
      <c r="I12" s="5"/>
      <c r="J12" s="4"/>
      <c r="K12" s="6">
        <v>0.0</v>
      </c>
      <c r="L12" s="5"/>
    </row>
    <row r="13">
      <c r="B13" s="3" t="s">
        <v>3</v>
      </c>
      <c r="C13" s="3" t="s">
        <v>44</v>
      </c>
      <c r="D13" s="3" t="s">
        <v>45</v>
      </c>
      <c r="E13" s="3" t="s">
        <v>6</v>
      </c>
      <c r="G13" s="4"/>
      <c r="H13" s="4"/>
      <c r="I13" s="5"/>
      <c r="J13" s="4"/>
      <c r="K13" s="6">
        <v>0.0</v>
      </c>
      <c r="L13" s="5"/>
    </row>
    <row r="14">
      <c r="B14" s="4" t="s">
        <v>46</v>
      </c>
      <c r="C14" s="4" t="s">
        <v>47</v>
      </c>
      <c r="D14" s="5" t="s">
        <v>48</v>
      </c>
      <c r="E14" s="6">
        <v>300000.0</v>
      </c>
      <c r="G14" s="4"/>
      <c r="H14" s="4"/>
      <c r="I14" s="5"/>
      <c r="J14" s="4"/>
      <c r="K14" s="6">
        <v>0.0</v>
      </c>
      <c r="L14" s="5"/>
    </row>
    <row r="15">
      <c r="B15" s="4" t="s">
        <v>49</v>
      </c>
      <c r="C15" s="4" t="s">
        <v>50</v>
      </c>
      <c r="D15" s="5" t="s">
        <v>51</v>
      </c>
      <c r="E15" s="6">
        <v>120000.0</v>
      </c>
      <c r="G15" s="4"/>
      <c r="H15" s="4"/>
      <c r="I15" s="5"/>
      <c r="J15" s="4"/>
      <c r="K15" s="6">
        <v>0.0</v>
      </c>
      <c r="L15" s="5"/>
    </row>
    <row r="16">
      <c r="B16" s="4" t="s">
        <v>52</v>
      </c>
      <c r="C16" s="4" t="s">
        <v>53</v>
      </c>
      <c r="D16" s="5" t="s">
        <v>54</v>
      </c>
      <c r="E16" s="6">
        <v>250000.0</v>
      </c>
      <c r="G16" s="4"/>
      <c r="H16" s="4"/>
      <c r="I16" s="5"/>
      <c r="J16" s="4"/>
      <c r="K16" s="6">
        <v>0.0</v>
      </c>
      <c r="L16" s="5"/>
    </row>
    <row r="17">
      <c r="B17" s="4" t="s">
        <v>55</v>
      </c>
      <c r="C17" s="4" t="s">
        <v>13</v>
      </c>
      <c r="D17" s="5" t="s">
        <v>56</v>
      </c>
      <c r="E17" s="6">
        <v>500000.0</v>
      </c>
      <c r="G17" s="4"/>
      <c r="H17" s="4"/>
      <c r="I17" s="5"/>
      <c r="J17" s="4"/>
      <c r="K17" s="6">
        <v>0.0</v>
      </c>
      <c r="L17" s="5"/>
    </row>
    <row r="18">
      <c r="B18" s="4" t="s">
        <v>57</v>
      </c>
      <c r="C18" s="4" t="s">
        <v>58</v>
      </c>
      <c r="D18" s="5" t="s">
        <v>59</v>
      </c>
      <c r="E18" s="6">
        <v>30000.0</v>
      </c>
      <c r="G18" s="4"/>
      <c r="H18" s="4"/>
      <c r="I18" s="5"/>
      <c r="J18" s="4"/>
      <c r="K18" s="6">
        <v>0.0</v>
      </c>
      <c r="L18" s="5"/>
    </row>
    <row r="19">
      <c r="B19" s="4" t="s">
        <v>61</v>
      </c>
      <c r="C19" s="4" t="s">
        <v>20</v>
      </c>
      <c r="D19" s="5" t="s">
        <v>62</v>
      </c>
      <c r="E19" s="6">
        <v>0.0</v>
      </c>
      <c r="G19" s="4"/>
      <c r="H19" s="4"/>
      <c r="I19" s="5"/>
      <c r="J19" s="4"/>
      <c r="K19" s="6">
        <v>0.0</v>
      </c>
      <c r="L19" s="5"/>
    </row>
    <row r="20">
      <c r="B20" s="11" t="s">
        <v>63</v>
      </c>
      <c r="C20" s="8"/>
      <c r="D20" s="9"/>
      <c r="E20" s="13">
        <f>SUM(E14:E19)</f>
        <v>1200000</v>
      </c>
      <c r="G20" s="4"/>
      <c r="H20" s="4"/>
      <c r="I20" s="5"/>
      <c r="J20" s="4"/>
      <c r="K20" s="6">
        <v>0.0</v>
      </c>
      <c r="L20" s="5"/>
    </row>
    <row r="21" ht="15.75" customHeight="1">
      <c r="G21" s="4"/>
      <c r="H21" s="4"/>
      <c r="I21" s="5"/>
      <c r="J21" s="4"/>
      <c r="K21" s="6">
        <v>0.0</v>
      </c>
      <c r="L21" s="5"/>
    </row>
    <row r="22" ht="15.75" customHeight="1">
      <c r="B22" s="2" t="s">
        <v>73</v>
      </c>
      <c r="G22" s="4"/>
      <c r="H22" s="4"/>
      <c r="I22" s="5"/>
      <c r="J22" s="4"/>
      <c r="K22" s="6">
        <v>0.0</v>
      </c>
      <c r="L22" s="5"/>
    </row>
    <row r="23" ht="15.75" customHeight="1">
      <c r="B23" s="3" t="s">
        <v>3</v>
      </c>
      <c r="C23" s="3" t="s">
        <v>74</v>
      </c>
      <c r="D23" s="3" t="s">
        <v>75</v>
      </c>
      <c r="E23" s="3" t="s">
        <v>6</v>
      </c>
      <c r="G23" s="4"/>
      <c r="H23" s="4"/>
      <c r="I23" s="5"/>
      <c r="J23" s="4"/>
      <c r="K23" s="6">
        <v>0.0</v>
      </c>
      <c r="L23" s="5"/>
    </row>
    <row r="24" ht="15.75" customHeight="1">
      <c r="B24" s="4" t="s">
        <v>76</v>
      </c>
      <c r="C24" s="4" t="s">
        <v>13</v>
      </c>
      <c r="D24" s="5" t="s">
        <v>77</v>
      </c>
      <c r="E24" s="6">
        <v>1000000.0</v>
      </c>
      <c r="G24" s="11" t="s">
        <v>78</v>
      </c>
      <c r="H24" s="8"/>
      <c r="I24" s="8"/>
      <c r="J24" s="9"/>
      <c r="K24" s="13">
        <f>SUM(K6:K23)</f>
        <v>420000</v>
      </c>
    </row>
    <row r="25" ht="15.75" customHeight="1">
      <c r="B25" s="4" t="s">
        <v>79</v>
      </c>
      <c r="C25" s="4" t="s">
        <v>13</v>
      </c>
      <c r="D25" s="5" t="s">
        <v>80</v>
      </c>
      <c r="E25" s="6">
        <v>500000.0</v>
      </c>
    </row>
    <row r="26" ht="15.75" customHeight="1">
      <c r="B26" s="4" t="s">
        <v>81</v>
      </c>
      <c r="C26" s="4" t="s">
        <v>13</v>
      </c>
      <c r="D26" s="5" t="s">
        <v>82</v>
      </c>
      <c r="E26" s="6">
        <v>500000.0</v>
      </c>
      <c r="G26" s="14" t="s">
        <v>83</v>
      </c>
      <c r="H26" s="14" t="s">
        <v>6</v>
      </c>
    </row>
    <row r="27" ht="15.75" customHeight="1">
      <c r="B27" s="4" t="s">
        <v>84</v>
      </c>
      <c r="C27" s="4" t="s">
        <v>13</v>
      </c>
      <c r="D27" s="5" t="s">
        <v>85</v>
      </c>
      <c r="E27" s="6">
        <v>200000.0</v>
      </c>
      <c r="G27" s="12" t="s">
        <v>86</v>
      </c>
      <c r="H27" s="15">
        <f>C31</f>
        <v>4000000</v>
      </c>
    </row>
    <row r="28" ht="15.75" customHeight="1">
      <c r="B28" s="16" t="s">
        <v>87</v>
      </c>
      <c r="C28" s="8"/>
      <c r="D28" s="9"/>
      <c r="E28" s="17">
        <f>SUM(E24:E27)</f>
        <v>2200000</v>
      </c>
      <c r="G28" s="12" t="s">
        <v>88</v>
      </c>
      <c r="H28" s="15">
        <f t="shared" ref="H28:H29" si="1">C34</f>
        <v>1620000</v>
      </c>
    </row>
    <row r="29" ht="15.75" customHeight="1">
      <c r="G29" s="12" t="s">
        <v>89</v>
      </c>
      <c r="H29" s="15">
        <f t="shared" si="1"/>
        <v>2200000</v>
      </c>
    </row>
    <row r="30" ht="15.75" customHeight="1">
      <c r="B30" s="2" t="s">
        <v>90</v>
      </c>
    </row>
    <row r="31" ht="15.75" customHeight="1">
      <c r="B31" s="18" t="s">
        <v>91</v>
      </c>
      <c r="C31" s="15">
        <f>E10</f>
        <v>4000000</v>
      </c>
    </row>
    <row r="32" ht="15.75" customHeight="1">
      <c r="B32" s="18" t="s">
        <v>92</v>
      </c>
      <c r="C32" s="15">
        <f>E20</f>
        <v>1200000</v>
      </c>
    </row>
    <row r="33" ht="15.75" customHeight="1">
      <c r="B33" s="18" t="s">
        <v>94</v>
      </c>
      <c r="C33" s="15">
        <f>K24</f>
        <v>420000</v>
      </c>
    </row>
    <row r="34" ht="15.75" customHeight="1">
      <c r="B34" s="18" t="s">
        <v>95</v>
      </c>
      <c r="C34" s="15">
        <f>C32+C33</f>
        <v>1620000</v>
      </c>
    </row>
    <row r="35" ht="15.75" customHeight="1">
      <c r="B35" s="18" t="s">
        <v>96</v>
      </c>
      <c r="C35" s="15">
        <f>E28</f>
        <v>2200000</v>
      </c>
    </row>
    <row r="36" ht="15.75" customHeight="1">
      <c r="B36" s="18" t="s">
        <v>97</v>
      </c>
      <c r="C36" s="15">
        <f>C31-C34-C35</f>
        <v>180000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0:D10"/>
    <mergeCell ref="B20:D20"/>
    <mergeCell ref="G24:J24"/>
    <mergeCell ref="B28:D2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0.0"/>
    <col customWidth="1" min="4" max="4" width="18.0"/>
    <col customWidth="1" min="5" max="5" width="14.0"/>
    <col customWidth="1" min="6" max="6" width="3.0"/>
    <col customWidth="1" min="7" max="8" width="12.0"/>
    <col customWidth="1" min="9" max="9" width="18.0"/>
    <col customWidth="1" min="10" max="10" width="12.0"/>
    <col customWidth="1" min="11" max="12" width="14.0"/>
    <col customWidth="1" min="13" max="26" width="8.71"/>
  </cols>
  <sheetData>
    <row r="2">
      <c r="B2" s="1" t="s">
        <v>103</v>
      </c>
    </row>
    <row r="4">
      <c r="B4" s="2" t="s">
        <v>1</v>
      </c>
      <c r="G4" s="2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6</v>
      </c>
      <c r="L5" s="3" t="s">
        <v>11</v>
      </c>
    </row>
    <row r="6">
      <c r="B6" s="4" t="s">
        <v>12</v>
      </c>
      <c r="C6" s="4" t="s">
        <v>13</v>
      </c>
      <c r="D6" s="5" t="s">
        <v>14</v>
      </c>
      <c r="E6" s="6">
        <v>4000000.0</v>
      </c>
      <c r="G6" s="4" t="s">
        <v>105</v>
      </c>
      <c r="H6" s="4" t="s">
        <v>16</v>
      </c>
      <c r="I6" s="5" t="s">
        <v>17</v>
      </c>
      <c r="J6" s="4" t="s">
        <v>18</v>
      </c>
      <c r="K6" s="6">
        <v>150000.0</v>
      </c>
      <c r="L6" s="5"/>
    </row>
    <row r="7">
      <c r="B7" s="4" t="s">
        <v>19</v>
      </c>
      <c r="C7" s="4" t="s">
        <v>20</v>
      </c>
      <c r="D7" s="5" t="s">
        <v>21</v>
      </c>
      <c r="E7" s="6">
        <v>0.0</v>
      </c>
      <c r="G7" s="4" t="s">
        <v>107</v>
      </c>
      <c r="H7" s="4" t="s">
        <v>23</v>
      </c>
      <c r="I7" s="5" t="s">
        <v>24</v>
      </c>
      <c r="J7" s="4" t="s">
        <v>18</v>
      </c>
      <c r="K7" s="6">
        <v>80000.0</v>
      </c>
      <c r="L7" s="5"/>
    </row>
    <row r="8">
      <c r="B8" s="4" t="s">
        <v>25</v>
      </c>
      <c r="C8" s="4" t="s">
        <v>20</v>
      </c>
      <c r="D8" s="5" t="s">
        <v>26</v>
      </c>
      <c r="E8" s="6">
        <v>0.0</v>
      </c>
      <c r="G8" s="4" t="s">
        <v>108</v>
      </c>
      <c r="H8" s="4" t="s">
        <v>28</v>
      </c>
      <c r="I8" s="5" t="s">
        <v>29</v>
      </c>
      <c r="J8" s="4" t="s">
        <v>30</v>
      </c>
      <c r="K8" s="6">
        <v>70000.0</v>
      </c>
      <c r="L8" s="5"/>
    </row>
    <row r="9">
      <c r="B9" s="4" t="s">
        <v>31</v>
      </c>
      <c r="C9" s="4" t="s">
        <v>20</v>
      </c>
      <c r="D9" s="5" t="s">
        <v>32</v>
      </c>
      <c r="E9" s="6">
        <v>0.0</v>
      </c>
      <c r="G9" s="4" t="s">
        <v>109</v>
      </c>
      <c r="H9" s="4" t="s">
        <v>34</v>
      </c>
      <c r="I9" s="5" t="s">
        <v>35</v>
      </c>
      <c r="J9" s="4" t="s">
        <v>18</v>
      </c>
      <c r="K9" s="6">
        <v>50000.0</v>
      </c>
      <c r="L9" s="5"/>
    </row>
    <row r="10">
      <c r="B10" s="7" t="s">
        <v>36</v>
      </c>
      <c r="C10" s="8"/>
      <c r="D10" s="9"/>
      <c r="E10" s="10">
        <f>SUM(E6:E9)</f>
        <v>4000000</v>
      </c>
      <c r="G10" s="4" t="s">
        <v>111</v>
      </c>
      <c r="H10" s="4" t="s">
        <v>38</v>
      </c>
      <c r="I10" s="5" t="s">
        <v>39</v>
      </c>
      <c r="J10" s="4" t="s">
        <v>18</v>
      </c>
      <c r="K10" s="6">
        <v>40000.0</v>
      </c>
      <c r="L10" s="5"/>
    </row>
    <row r="11">
      <c r="G11" s="4" t="s">
        <v>112</v>
      </c>
      <c r="H11" s="4" t="s">
        <v>41</v>
      </c>
      <c r="I11" s="5" t="s">
        <v>42</v>
      </c>
      <c r="J11" s="4" t="s">
        <v>30</v>
      </c>
      <c r="K11" s="6">
        <v>30000.0</v>
      </c>
      <c r="L11" s="5"/>
    </row>
    <row r="12">
      <c r="B12" s="2" t="s">
        <v>43</v>
      </c>
      <c r="G12" s="4"/>
      <c r="H12" s="4"/>
      <c r="I12" s="5"/>
      <c r="J12" s="4"/>
      <c r="K12" s="6">
        <v>0.0</v>
      </c>
      <c r="L12" s="5"/>
    </row>
    <row r="13">
      <c r="B13" s="3" t="s">
        <v>3</v>
      </c>
      <c r="C13" s="3" t="s">
        <v>44</v>
      </c>
      <c r="D13" s="3" t="s">
        <v>45</v>
      </c>
      <c r="E13" s="3" t="s">
        <v>6</v>
      </c>
      <c r="G13" s="4"/>
      <c r="H13" s="4"/>
      <c r="I13" s="5"/>
      <c r="J13" s="4"/>
      <c r="K13" s="6">
        <v>0.0</v>
      </c>
      <c r="L13" s="5"/>
    </row>
    <row r="14">
      <c r="B14" s="4" t="s">
        <v>46</v>
      </c>
      <c r="C14" s="4" t="s">
        <v>47</v>
      </c>
      <c r="D14" s="5" t="s">
        <v>48</v>
      </c>
      <c r="E14" s="6">
        <v>300000.0</v>
      </c>
      <c r="G14" s="4"/>
      <c r="H14" s="4"/>
      <c r="I14" s="5"/>
      <c r="J14" s="4"/>
      <c r="K14" s="6">
        <v>0.0</v>
      </c>
      <c r="L14" s="5"/>
    </row>
    <row r="15">
      <c r="B15" s="4" t="s">
        <v>49</v>
      </c>
      <c r="C15" s="4" t="s">
        <v>50</v>
      </c>
      <c r="D15" s="5" t="s">
        <v>51</v>
      </c>
      <c r="E15" s="6">
        <v>120000.0</v>
      </c>
      <c r="G15" s="4"/>
      <c r="H15" s="4"/>
      <c r="I15" s="5"/>
      <c r="J15" s="4"/>
      <c r="K15" s="6">
        <v>0.0</v>
      </c>
      <c r="L15" s="5"/>
    </row>
    <row r="16">
      <c r="B16" s="4" t="s">
        <v>52</v>
      </c>
      <c r="C16" s="4" t="s">
        <v>53</v>
      </c>
      <c r="D16" s="5" t="s">
        <v>54</v>
      </c>
      <c r="E16" s="6">
        <v>250000.0</v>
      </c>
      <c r="G16" s="4"/>
      <c r="H16" s="4"/>
      <c r="I16" s="5"/>
      <c r="J16" s="4"/>
      <c r="K16" s="6">
        <v>0.0</v>
      </c>
      <c r="L16" s="5"/>
    </row>
    <row r="17">
      <c r="B17" s="4" t="s">
        <v>55</v>
      </c>
      <c r="C17" s="4" t="s">
        <v>13</v>
      </c>
      <c r="D17" s="5" t="s">
        <v>56</v>
      </c>
      <c r="E17" s="6">
        <v>500000.0</v>
      </c>
      <c r="G17" s="4"/>
      <c r="H17" s="4"/>
      <c r="I17" s="5"/>
      <c r="J17" s="4"/>
      <c r="K17" s="6">
        <v>0.0</v>
      </c>
      <c r="L17" s="5"/>
    </row>
    <row r="18">
      <c r="B18" s="4" t="s">
        <v>57</v>
      </c>
      <c r="C18" s="4" t="s">
        <v>58</v>
      </c>
      <c r="D18" s="5" t="s">
        <v>59</v>
      </c>
      <c r="E18" s="6">
        <v>30000.0</v>
      </c>
      <c r="G18" s="4"/>
      <c r="H18" s="4"/>
      <c r="I18" s="5"/>
      <c r="J18" s="4"/>
      <c r="K18" s="6">
        <v>0.0</v>
      </c>
      <c r="L18" s="5"/>
    </row>
    <row r="19">
      <c r="B19" s="4" t="s">
        <v>61</v>
      </c>
      <c r="C19" s="4" t="s">
        <v>20</v>
      </c>
      <c r="D19" s="5" t="s">
        <v>62</v>
      </c>
      <c r="E19" s="6">
        <v>0.0</v>
      </c>
      <c r="G19" s="4"/>
      <c r="H19" s="4"/>
      <c r="I19" s="5"/>
      <c r="J19" s="4"/>
      <c r="K19" s="6">
        <v>0.0</v>
      </c>
      <c r="L19" s="5"/>
    </row>
    <row r="20">
      <c r="B20" s="11" t="s">
        <v>63</v>
      </c>
      <c r="C20" s="8"/>
      <c r="D20" s="9"/>
      <c r="E20" s="13">
        <f>SUM(E14:E19)</f>
        <v>1200000</v>
      </c>
      <c r="G20" s="4"/>
      <c r="H20" s="4"/>
      <c r="I20" s="5"/>
      <c r="J20" s="4"/>
      <c r="K20" s="6">
        <v>0.0</v>
      </c>
      <c r="L20" s="5"/>
    </row>
    <row r="21" ht="15.75" customHeight="1">
      <c r="G21" s="4"/>
      <c r="H21" s="4"/>
      <c r="I21" s="5"/>
      <c r="J21" s="4"/>
      <c r="K21" s="6">
        <v>0.0</v>
      </c>
      <c r="L21" s="5"/>
    </row>
    <row r="22" ht="15.75" customHeight="1">
      <c r="B22" s="2" t="s">
        <v>73</v>
      </c>
      <c r="G22" s="4"/>
      <c r="H22" s="4"/>
      <c r="I22" s="5"/>
      <c r="J22" s="4"/>
      <c r="K22" s="6">
        <v>0.0</v>
      </c>
      <c r="L22" s="5"/>
    </row>
    <row r="23" ht="15.75" customHeight="1">
      <c r="B23" s="3" t="s">
        <v>3</v>
      </c>
      <c r="C23" s="3" t="s">
        <v>74</v>
      </c>
      <c r="D23" s="3" t="s">
        <v>75</v>
      </c>
      <c r="E23" s="3" t="s">
        <v>6</v>
      </c>
      <c r="G23" s="4"/>
      <c r="H23" s="4"/>
      <c r="I23" s="5"/>
      <c r="J23" s="4"/>
      <c r="K23" s="6">
        <v>0.0</v>
      </c>
      <c r="L23" s="5"/>
    </row>
    <row r="24" ht="15.75" customHeight="1">
      <c r="B24" s="4" t="s">
        <v>76</v>
      </c>
      <c r="C24" s="4" t="s">
        <v>13</v>
      </c>
      <c r="D24" s="5" t="s">
        <v>77</v>
      </c>
      <c r="E24" s="6">
        <v>1000000.0</v>
      </c>
      <c r="G24" s="11" t="s">
        <v>78</v>
      </c>
      <c r="H24" s="8"/>
      <c r="I24" s="8"/>
      <c r="J24" s="9"/>
      <c r="K24" s="13">
        <f>SUM(K6:K23)</f>
        <v>420000</v>
      </c>
    </row>
    <row r="25" ht="15.75" customHeight="1">
      <c r="B25" s="4" t="s">
        <v>79</v>
      </c>
      <c r="C25" s="4" t="s">
        <v>13</v>
      </c>
      <c r="D25" s="5" t="s">
        <v>80</v>
      </c>
      <c r="E25" s="6">
        <v>500000.0</v>
      </c>
    </row>
    <row r="26" ht="15.75" customHeight="1">
      <c r="B26" s="4" t="s">
        <v>81</v>
      </c>
      <c r="C26" s="4" t="s">
        <v>13</v>
      </c>
      <c r="D26" s="5" t="s">
        <v>82</v>
      </c>
      <c r="E26" s="6">
        <v>500000.0</v>
      </c>
      <c r="G26" s="14" t="s">
        <v>83</v>
      </c>
      <c r="H26" s="14" t="s">
        <v>6</v>
      </c>
    </row>
    <row r="27" ht="15.75" customHeight="1">
      <c r="B27" s="4" t="s">
        <v>84</v>
      </c>
      <c r="C27" s="4" t="s">
        <v>13</v>
      </c>
      <c r="D27" s="5" t="s">
        <v>85</v>
      </c>
      <c r="E27" s="6">
        <v>200000.0</v>
      </c>
      <c r="G27" s="12" t="s">
        <v>86</v>
      </c>
      <c r="H27" s="15">
        <f>C31</f>
        <v>4000000</v>
      </c>
    </row>
    <row r="28" ht="15.75" customHeight="1">
      <c r="B28" s="16" t="s">
        <v>87</v>
      </c>
      <c r="C28" s="8"/>
      <c r="D28" s="9"/>
      <c r="E28" s="17">
        <f>SUM(E24:E27)</f>
        <v>2200000</v>
      </c>
      <c r="G28" s="12" t="s">
        <v>88</v>
      </c>
      <c r="H28" s="15">
        <f t="shared" ref="H28:H29" si="1">C34</f>
        <v>1620000</v>
      </c>
    </row>
    <row r="29" ht="15.75" customHeight="1">
      <c r="G29" s="12" t="s">
        <v>89</v>
      </c>
      <c r="H29" s="15">
        <f t="shared" si="1"/>
        <v>2200000</v>
      </c>
    </row>
    <row r="30" ht="15.75" customHeight="1">
      <c r="B30" s="2" t="s">
        <v>124</v>
      </c>
    </row>
    <row r="31" ht="15.75" customHeight="1">
      <c r="B31" s="18" t="s">
        <v>91</v>
      </c>
      <c r="C31" s="15">
        <f>E10</f>
        <v>4000000</v>
      </c>
    </row>
    <row r="32" ht="15.75" customHeight="1">
      <c r="B32" s="18" t="s">
        <v>92</v>
      </c>
      <c r="C32" s="15">
        <f>E20</f>
        <v>1200000</v>
      </c>
    </row>
    <row r="33" ht="15.75" customHeight="1">
      <c r="B33" s="18" t="s">
        <v>94</v>
      </c>
      <c r="C33" s="15">
        <f>K24</f>
        <v>420000</v>
      </c>
    </row>
    <row r="34" ht="15.75" customHeight="1">
      <c r="B34" s="18" t="s">
        <v>95</v>
      </c>
      <c r="C34" s="15">
        <f>C32+C33</f>
        <v>1620000</v>
      </c>
    </row>
    <row r="35" ht="15.75" customHeight="1">
      <c r="B35" s="18" t="s">
        <v>96</v>
      </c>
      <c r="C35" s="15">
        <f>E28</f>
        <v>2200000</v>
      </c>
    </row>
    <row r="36" ht="15.75" customHeight="1">
      <c r="B36" s="18" t="s">
        <v>97</v>
      </c>
      <c r="C36" s="15">
        <f>C31-C34-C35</f>
        <v>180000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0:D10"/>
    <mergeCell ref="B20:D20"/>
    <mergeCell ref="G24:J24"/>
    <mergeCell ref="B28:D2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0.0"/>
    <col customWidth="1" min="4" max="4" width="18.0"/>
    <col customWidth="1" min="5" max="5" width="14.0"/>
    <col customWidth="1" min="6" max="6" width="3.0"/>
    <col customWidth="1" min="7" max="8" width="12.0"/>
    <col customWidth="1" min="9" max="9" width="18.0"/>
    <col customWidth="1" min="10" max="10" width="12.0"/>
    <col customWidth="1" min="11" max="12" width="14.0"/>
    <col customWidth="1" min="13" max="26" width="8.71"/>
  </cols>
  <sheetData>
    <row r="2">
      <c r="B2" s="1" t="s">
        <v>114</v>
      </c>
    </row>
    <row r="4">
      <c r="B4" s="2" t="s">
        <v>1</v>
      </c>
      <c r="G4" s="2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6</v>
      </c>
      <c r="L5" s="3" t="s">
        <v>11</v>
      </c>
    </row>
    <row r="6">
      <c r="B6" s="4" t="s">
        <v>12</v>
      </c>
      <c r="C6" s="4" t="s">
        <v>13</v>
      </c>
      <c r="D6" s="5" t="s">
        <v>14</v>
      </c>
      <c r="E6" s="6">
        <v>4000000.0</v>
      </c>
      <c r="G6" s="4" t="s">
        <v>116</v>
      </c>
      <c r="H6" s="4" t="s">
        <v>16</v>
      </c>
      <c r="I6" s="5" t="s">
        <v>17</v>
      </c>
      <c r="J6" s="4" t="s">
        <v>18</v>
      </c>
      <c r="K6" s="6">
        <v>150000.0</v>
      </c>
      <c r="L6" s="5"/>
    </row>
    <row r="7">
      <c r="B7" s="4" t="s">
        <v>19</v>
      </c>
      <c r="C7" s="4" t="s">
        <v>20</v>
      </c>
      <c r="D7" s="5" t="s">
        <v>21</v>
      </c>
      <c r="E7" s="6">
        <v>0.0</v>
      </c>
      <c r="G7" s="4" t="s">
        <v>117</v>
      </c>
      <c r="H7" s="4" t="s">
        <v>23</v>
      </c>
      <c r="I7" s="5" t="s">
        <v>24</v>
      </c>
      <c r="J7" s="4" t="s">
        <v>18</v>
      </c>
      <c r="K7" s="6">
        <v>80000.0</v>
      </c>
      <c r="L7" s="5"/>
    </row>
    <row r="8">
      <c r="B8" s="4" t="s">
        <v>25</v>
      </c>
      <c r="C8" s="4" t="s">
        <v>20</v>
      </c>
      <c r="D8" s="5" t="s">
        <v>26</v>
      </c>
      <c r="E8" s="6">
        <v>0.0</v>
      </c>
      <c r="G8" s="4" t="s">
        <v>119</v>
      </c>
      <c r="H8" s="4" t="s">
        <v>28</v>
      </c>
      <c r="I8" s="5" t="s">
        <v>29</v>
      </c>
      <c r="J8" s="4" t="s">
        <v>30</v>
      </c>
      <c r="K8" s="6">
        <v>70000.0</v>
      </c>
      <c r="L8" s="5"/>
    </row>
    <row r="9">
      <c r="B9" s="4" t="s">
        <v>31</v>
      </c>
      <c r="C9" s="4" t="s">
        <v>20</v>
      </c>
      <c r="D9" s="5" t="s">
        <v>32</v>
      </c>
      <c r="E9" s="6">
        <v>0.0</v>
      </c>
      <c r="G9" s="4" t="s">
        <v>120</v>
      </c>
      <c r="H9" s="4" t="s">
        <v>34</v>
      </c>
      <c r="I9" s="5" t="s">
        <v>35</v>
      </c>
      <c r="J9" s="4" t="s">
        <v>18</v>
      </c>
      <c r="K9" s="6">
        <v>50000.0</v>
      </c>
      <c r="L9" s="5"/>
    </row>
    <row r="10">
      <c r="B10" s="7" t="s">
        <v>36</v>
      </c>
      <c r="C10" s="8"/>
      <c r="D10" s="9"/>
      <c r="E10" s="10">
        <f>SUM(E6:E9)</f>
        <v>4000000</v>
      </c>
      <c r="G10" s="4" t="s">
        <v>122</v>
      </c>
      <c r="H10" s="4" t="s">
        <v>38</v>
      </c>
      <c r="I10" s="5" t="s">
        <v>39</v>
      </c>
      <c r="J10" s="4" t="s">
        <v>18</v>
      </c>
      <c r="K10" s="6">
        <v>40000.0</v>
      </c>
      <c r="L10" s="5"/>
    </row>
    <row r="11">
      <c r="G11" s="4" t="s">
        <v>123</v>
      </c>
      <c r="H11" s="4" t="s">
        <v>41</v>
      </c>
      <c r="I11" s="5" t="s">
        <v>42</v>
      </c>
      <c r="J11" s="4" t="s">
        <v>30</v>
      </c>
      <c r="K11" s="6">
        <v>30000.0</v>
      </c>
      <c r="L11" s="5"/>
    </row>
    <row r="12">
      <c r="B12" s="2" t="s">
        <v>43</v>
      </c>
      <c r="G12" s="4"/>
      <c r="H12" s="4"/>
      <c r="I12" s="5"/>
      <c r="J12" s="4"/>
      <c r="K12" s="6">
        <v>0.0</v>
      </c>
      <c r="L12" s="5"/>
    </row>
    <row r="13">
      <c r="B13" s="3" t="s">
        <v>3</v>
      </c>
      <c r="C13" s="3" t="s">
        <v>44</v>
      </c>
      <c r="D13" s="3" t="s">
        <v>45</v>
      </c>
      <c r="E13" s="3" t="s">
        <v>6</v>
      </c>
      <c r="G13" s="4"/>
      <c r="H13" s="4"/>
      <c r="I13" s="5"/>
      <c r="J13" s="4"/>
      <c r="K13" s="6">
        <v>0.0</v>
      </c>
      <c r="L13" s="5"/>
    </row>
    <row r="14">
      <c r="B14" s="4" t="s">
        <v>46</v>
      </c>
      <c r="C14" s="4" t="s">
        <v>47</v>
      </c>
      <c r="D14" s="5" t="s">
        <v>48</v>
      </c>
      <c r="E14" s="6">
        <v>300000.0</v>
      </c>
      <c r="G14" s="4"/>
      <c r="H14" s="4"/>
      <c r="I14" s="5"/>
      <c r="J14" s="4"/>
      <c r="K14" s="6">
        <v>0.0</v>
      </c>
      <c r="L14" s="5"/>
    </row>
    <row r="15">
      <c r="B15" s="4" t="s">
        <v>49</v>
      </c>
      <c r="C15" s="4" t="s">
        <v>50</v>
      </c>
      <c r="D15" s="5" t="s">
        <v>51</v>
      </c>
      <c r="E15" s="6">
        <v>120000.0</v>
      </c>
      <c r="G15" s="4"/>
      <c r="H15" s="4"/>
      <c r="I15" s="5"/>
      <c r="J15" s="4"/>
      <c r="K15" s="6">
        <v>0.0</v>
      </c>
      <c r="L15" s="5"/>
    </row>
    <row r="16">
      <c r="B16" s="4" t="s">
        <v>52</v>
      </c>
      <c r="C16" s="4" t="s">
        <v>53</v>
      </c>
      <c r="D16" s="5" t="s">
        <v>54</v>
      </c>
      <c r="E16" s="6">
        <v>250000.0</v>
      </c>
      <c r="G16" s="4"/>
      <c r="H16" s="4"/>
      <c r="I16" s="5"/>
      <c r="J16" s="4"/>
      <c r="K16" s="6">
        <v>0.0</v>
      </c>
      <c r="L16" s="5"/>
    </row>
    <row r="17">
      <c r="B17" s="4" t="s">
        <v>55</v>
      </c>
      <c r="C17" s="4" t="s">
        <v>13</v>
      </c>
      <c r="D17" s="5" t="s">
        <v>56</v>
      </c>
      <c r="E17" s="6">
        <v>500000.0</v>
      </c>
      <c r="G17" s="4"/>
      <c r="H17" s="4"/>
      <c r="I17" s="5"/>
      <c r="J17" s="4"/>
      <c r="K17" s="6">
        <v>0.0</v>
      </c>
      <c r="L17" s="5"/>
    </row>
    <row r="18">
      <c r="B18" s="4" t="s">
        <v>57</v>
      </c>
      <c r="C18" s="4" t="s">
        <v>58</v>
      </c>
      <c r="D18" s="5" t="s">
        <v>59</v>
      </c>
      <c r="E18" s="6">
        <v>30000.0</v>
      </c>
      <c r="G18" s="4"/>
      <c r="H18" s="4"/>
      <c r="I18" s="5"/>
      <c r="J18" s="4"/>
      <c r="K18" s="6">
        <v>0.0</v>
      </c>
      <c r="L18" s="5"/>
    </row>
    <row r="19">
      <c r="B19" s="4" t="s">
        <v>61</v>
      </c>
      <c r="C19" s="4" t="s">
        <v>20</v>
      </c>
      <c r="D19" s="5" t="s">
        <v>62</v>
      </c>
      <c r="E19" s="6">
        <v>0.0</v>
      </c>
      <c r="G19" s="4"/>
      <c r="H19" s="4"/>
      <c r="I19" s="5"/>
      <c r="J19" s="4"/>
      <c r="K19" s="6">
        <v>0.0</v>
      </c>
      <c r="L19" s="5"/>
    </row>
    <row r="20">
      <c r="B20" s="11" t="s">
        <v>63</v>
      </c>
      <c r="C20" s="8"/>
      <c r="D20" s="9"/>
      <c r="E20" s="13">
        <f>SUM(E14:E19)</f>
        <v>1200000</v>
      </c>
      <c r="G20" s="4"/>
      <c r="H20" s="4"/>
      <c r="I20" s="5"/>
      <c r="J20" s="4"/>
      <c r="K20" s="6">
        <v>0.0</v>
      </c>
      <c r="L20" s="5"/>
    </row>
    <row r="21" ht="15.75" customHeight="1">
      <c r="G21" s="4"/>
      <c r="H21" s="4"/>
      <c r="I21" s="5"/>
      <c r="J21" s="4"/>
      <c r="K21" s="6">
        <v>0.0</v>
      </c>
      <c r="L21" s="5"/>
    </row>
    <row r="22" ht="15.75" customHeight="1">
      <c r="B22" s="2" t="s">
        <v>73</v>
      </c>
      <c r="G22" s="4"/>
      <c r="H22" s="4"/>
      <c r="I22" s="5"/>
      <c r="J22" s="4"/>
      <c r="K22" s="6">
        <v>0.0</v>
      </c>
      <c r="L22" s="5"/>
    </row>
    <row r="23" ht="15.75" customHeight="1">
      <c r="B23" s="3" t="s">
        <v>3</v>
      </c>
      <c r="C23" s="3" t="s">
        <v>74</v>
      </c>
      <c r="D23" s="3" t="s">
        <v>75</v>
      </c>
      <c r="E23" s="3" t="s">
        <v>6</v>
      </c>
      <c r="G23" s="4"/>
      <c r="H23" s="4"/>
      <c r="I23" s="5"/>
      <c r="J23" s="4"/>
      <c r="K23" s="6">
        <v>0.0</v>
      </c>
      <c r="L23" s="5"/>
    </row>
    <row r="24" ht="15.75" customHeight="1">
      <c r="B24" s="4" t="s">
        <v>76</v>
      </c>
      <c r="C24" s="4" t="s">
        <v>13</v>
      </c>
      <c r="D24" s="5" t="s">
        <v>77</v>
      </c>
      <c r="E24" s="6">
        <v>1000000.0</v>
      </c>
      <c r="G24" s="11" t="s">
        <v>78</v>
      </c>
      <c r="H24" s="8"/>
      <c r="I24" s="8"/>
      <c r="J24" s="9"/>
      <c r="K24" s="13">
        <f>SUM(K6:K23)</f>
        <v>420000</v>
      </c>
    </row>
    <row r="25" ht="15.75" customHeight="1">
      <c r="B25" s="4" t="s">
        <v>79</v>
      </c>
      <c r="C25" s="4" t="s">
        <v>13</v>
      </c>
      <c r="D25" s="5" t="s">
        <v>80</v>
      </c>
      <c r="E25" s="6">
        <v>500000.0</v>
      </c>
    </row>
    <row r="26" ht="15.75" customHeight="1">
      <c r="B26" s="4" t="s">
        <v>81</v>
      </c>
      <c r="C26" s="4" t="s">
        <v>13</v>
      </c>
      <c r="D26" s="5" t="s">
        <v>82</v>
      </c>
      <c r="E26" s="6">
        <v>500000.0</v>
      </c>
      <c r="G26" s="14" t="s">
        <v>83</v>
      </c>
      <c r="H26" s="14" t="s">
        <v>6</v>
      </c>
    </row>
    <row r="27" ht="15.75" customHeight="1">
      <c r="B27" s="4" t="s">
        <v>84</v>
      </c>
      <c r="C27" s="4" t="s">
        <v>13</v>
      </c>
      <c r="D27" s="5" t="s">
        <v>85</v>
      </c>
      <c r="E27" s="6">
        <v>200000.0</v>
      </c>
      <c r="G27" s="12" t="s">
        <v>86</v>
      </c>
      <c r="H27" s="15">
        <f>C31</f>
        <v>4000000</v>
      </c>
    </row>
    <row r="28" ht="15.75" customHeight="1">
      <c r="B28" s="16" t="s">
        <v>87</v>
      </c>
      <c r="C28" s="8"/>
      <c r="D28" s="9"/>
      <c r="E28" s="17">
        <f>SUM(E24:E27)</f>
        <v>2200000</v>
      </c>
      <c r="G28" s="12" t="s">
        <v>88</v>
      </c>
      <c r="H28" s="15">
        <f t="shared" ref="H28:H29" si="1">C34</f>
        <v>1620000</v>
      </c>
    </row>
    <row r="29" ht="15.75" customHeight="1">
      <c r="G29" s="12" t="s">
        <v>89</v>
      </c>
      <c r="H29" s="15">
        <f t="shared" si="1"/>
        <v>2200000</v>
      </c>
    </row>
    <row r="30" ht="15.75" customHeight="1">
      <c r="B30" s="2" t="s">
        <v>125</v>
      </c>
    </row>
    <row r="31" ht="15.75" customHeight="1">
      <c r="B31" s="18" t="s">
        <v>91</v>
      </c>
      <c r="C31" s="15">
        <f>E10</f>
        <v>4000000</v>
      </c>
    </row>
    <row r="32" ht="15.75" customHeight="1">
      <c r="B32" s="18" t="s">
        <v>92</v>
      </c>
      <c r="C32" s="15">
        <f>E20</f>
        <v>1200000</v>
      </c>
    </row>
    <row r="33" ht="15.75" customHeight="1">
      <c r="B33" s="18" t="s">
        <v>94</v>
      </c>
      <c r="C33" s="15">
        <f>K24</f>
        <v>420000</v>
      </c>
    </row>
    <row r="34" ht="15.75" customHeight="1">
      <c r="B34" s="18" t="s">
        <v>95</v>
      </c>
      <c r="C34" s="15">
        <f>C32+C33</f>
        <v>1620000</v>
      </c>
    </row>
    <row r="35" ht="15.75" customHeight="1">
      <c r="B35" s="18" t="s">
        <v>96</v>
      </c>
      <c r="C35" s="15">
        <f>E28</f>
        <v>2200000</v>
      </c>
    </row>
    <row r="36" ht="15.75" customHeight="1">
      <c r="B36" s="18" t="s">
        <v>97</v>
      </c>
      <c r="C36" s="15">
        <f>C31-C34-C35</f>
        <v>180000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0:D10"/>
    <mergeCell ref="B20:D20"/>
    <mergeCell ref="G24:J24"/>
    <mergeCell ref="B28:D2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0.0"/>
    <col customWidth="1" min="4" max="4" width="18.0"/>
    <col customWidth="1" min="5" max="5" width="14.0"/>
    <col customWidth="1" min="6" max="6" width="3.0"/>
    <col customWidth="1" min="7" max="8" width="12.0"/>
    <col customWidth="1" min="9" max="9" width="18.0"/>
    <col customWidth="1" min="10" max="10" width="12.0"/>
    <col customWidth="1" min="11" max="12" width="14.0"/>
    <col customWidth="1" min="13" max="26" width="8.71"/>
  </cols>
  <sheetData>
    <row r="2">
      <c r="B2" s="1" t="s">
        <v>126</v>
      </c>
    </row>
    <row r="4">
      <c r="B4" s="2" t="s">
        <v>1</v>
      </c>
      <c r="G4" s="2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6</v>
      </c>
      <c r="L5" s="3" t="s">
        <v>11</v>
      </c>
    </row>
    <row r="6">
      <c r="B6" s="4" t="s">
        <v>12</v>
      </c>
      <c r="C6" s="4" t="s">
        <v>13</v>
      </c>
      <c r="D6" s="5" t="s">
        <v>14</v>
      </c>
      <c r="E6" s="6">
        <v>4000000.0</v>
      </c>
      <c r="G6" s="4" t="s">
        <v>127</v>
      </c>
      <c r="H6" s="4" t="s">
        <v>16</v>
      </c>
      <c r="I6" s="5" t="s">
        <v>17</v>
      </c>
      <c r="J6" s="4" t="s">
        <v>18</v>
      </c>
      <c r="K6" s="6">
        <v>150000.0</v>
      </c>
      <c r="L6" s="5"/>
    </row>
    <row r="7">
      <c r="B7" s="4" t="s">
        <v>19</v>
      </c>
      <c r="C7" s="4" t="s">
        <v>20</v>
      </c>
      <c r="D7" s="5" t="s">
        <v>21</v>
      </c>
      <c r="E7" s="6">
        <v>0.0</v>
      </c>
      <c r="G7" s="4" t="s">
        <v>128</v>
      </c>
      <c r="H7" s="4" t="s">
        <v>23</v>
      </c>
      <c r="I7" s="5" t="s">
        <v>24</v>
      </c>
      <c r="J7" s="4" t="s">
        <v>18</v>
      </c>
      <c r="K7" s="6">
        <v>80000.0</v>
      </c>
      <c r="L7" s="5"/>
    </row>
    <row r="8">
      <c r="B8" s="4" t="s">
        <v>25</v>
      </c>
      <c r="C8" s="4" t="s">
        <v>20</v>
      </c>
      <c r="D8" s="5" t="s">
        <v>26</v>
      </c>
      <c r="E8" s="6">
        <v>0.0</v>
      </c>
      <c r="G8" s="4" t="s">
        <v>129</v>
      </c>
      <c r="H8" s="4" t="s">
        <v>28</v>
      </c>
      <c r="I8" s="5" t="s">
        <v>29</v>
      </c>
      <c r="J8" s="4" t="s">
        <v>30</v>
      </c>
      <c r="K8" s="6">
        <v>70000.0</v>
      </c>
      <c r="L8" s="5"/>
    </row>
    <row r="9">
      <c r="B9" s="4" t="s">
        <v>31</v>
      </c>
      <c r="C9" s="4" t="s">
        <v>20</v>
      </c>
      <c r="D9" s="5" t="s">
        <v>32</v>
      </c>
      <c r="E9" s="6">
        <v>0.0</v>
      </c>
      <c r="G9" s="4" t="s">
        <v>130</v>
      </c>
      <c r="H9" s="4" t="s">
        <v>34</v>
      </c>
      <c r="I9" s="5" t="s">
        <v>35</v>
      </c>
      <c r="J9" s="4" t="s">
        <v>18</v>
      </c>
      <c r="K9" s="6">
        <v>50000.0</v>
      </c>
      <c r="L9" s="5"/>
    </row>
    <row r="10">
      <c r="B10" s="7" t="s">
        <v>36</v>
      </c>
      <c r="C10" s="8"/>
      <c r="D10" s="9"/>
      <c r="E10" s="10">
        <f>SUM(E6:E9)</f>
        <v>4000000</v>
      </c>
      <c r="G10" s="4" t="s">
        <v>131</v>
      </c>
      <c r="H10" s="4" t="s">
        <v>38</v>
      </c>
      <c r="I10" s="5" t="s">
        <v>39</v>
      </c>
      <c r="J10" s="4" t="s">
        <v>18</v>
      </c>
      <c r="K10" s="6">
        <v>40000.0</v>
      </c>
      <c r="L10" s="5"/>
    </row>
    <row r="11">
      <c r="G11" s="4" t="s">
        <v>132</v>
      </c>
      <c r="H11" s="4" t="s">
        <v>41</v>
      </c>
      <c r="I11" s="5" t="s">
        <v>42</v>
      </c>
      <c r="J11" s="4" t="s">
        <v>30</v>
      </c>
      <c r="K11" s="6">
        <v>30000.0</v>
      </c>
      <c r="L11" s="5"/>
    </row>
    <row r="12">
      <c r="B12" s="2" t="s">
        <v>43</v>
      </c>
      <c r="G12" s="4"/>
      <c r="H12" s="4"/>
      <c r="I12" s="5"/>
      <c r="J12" s="4"/>
      <c r="K12" s="6">
        <v>0.0</v>
      </c>
      <c r="L12" s="5"/>
    </row>
    <row r="13">
      <c r="B13" s="3" t="s">
        <v>3</v>
      </c>
      <c r="C13" s="3" t="s">
        <v>44</v>
      </c>
      <c r="D13" s="3" t="s">
        <v>45</v>
      </c>
      <c r="E13" s="3" t="s">
        <v>6</v>
      </c>
      <c r="G13" s="4"/>
      <c r="H13" s="4"/>
      <c r="I13" s="5"/>
      <c r="J13" s="4"/>
      <c r="K13" s="6">
        <v>0.0</v>
      </c>
      <c r="L13" s="5"/>
    </row>
    <row r="14">
      <c r="B14" s="4" t="s">
        <v>46</v>
      </c>
      <c r="C14" s="4" t="s">
        <v>47</v>
      </c>
      <c r="D14" s="5" t="s">
        <v>48</v>
      </c>
      <c r="E14" s="6">
        <v>300000.0</v>
      </c>
      <c r="G14" s="4"/>
      <c r="H14" s="4"/>
      <c r="I14" s="5"/>
      <c r="J14" s="4"/>
      <c r="K14" s="6">
        <v>0.0</v>
      </c>
      <c r="L14" s="5"/>
    </row>
    <row r="15">
      <c r="B15" s="4" t="s">
        <v>49</v>
      </c>
      <c r="C15" s="4" t="s">
        <v>50</v>
      </c>
      <c r="D15" s="5" t="s">
        <v>51</v>
      </c>
      <c r="E15" s="6">
        <v>120000.0</v>
      </c>
      <c r="G15" s="4"/>
      <c r="H15" s="4"/>
      <c r="I15" s="5"/>
      <c r="J15" s="4"/>
      <c r="K15" s="6">
        <v>0.0</v>
      </c>
      <c r="L15" s="5"/>
    </row>
    <row r="16">
      <c r="B16" s="4" t="s">
        <v>52</v>
      </c>
      <c r="C16" s="4" t="s">
        <v>53</v>
      </c>
      <c r="D16" s="5" t="s">
        <v>54</v>
      </c>
      <c r="E16" s="6">
        <v>250000.0</v>
      </c>
      <c r="G16" s="4"/>
      <c r="H16" s="4"/>
      <c r="I16" s="5"/>
      <c r="J16" s="4"/>
      <c r="K16" s="6">
        <v>0.0</v>
      </c>
      <c r="L16" s="5"/>
    </row>
    <row r="17">
      <c r="B17" s="4" t="s">
        <v>55</v>
      </c>
      <c r="C17" s="4" t="s">
        <v>13</v>
      </c>
      <c r="D17" s="5" t="s">
        <v>56</v>
      </c>
      <c r="E17" s="6">
        <v>500000.0</v>
      </c>
      <c r="G17" s="4"/>
      <c r="H17" s="4"/>
      <c r="I17" s="5"/>
      <c r="J17" s="4"/>
      <c r="K17" s="6">
        <v>0.0</v>
      </c>
      <c r="L17" s="5"/>
    </row>
    <row r="18">
      <c r="B18" s="4" t="s">
        <v>57</v>
      </c>
      <c r="C18" s="4" t="s">
        <v>58</v>
      </c>
      <c r="D18" s="5" t="s">
        <v>59</v>
      </c>
      <c r="E18" s="6">
        <v>30000.0</v>
      </c>
      <c r="G18" s="4"/>
      <c r="H18" s="4"/>
      <c r="I18" s="5"/>
      <c r="J18" s="4"/>
      <c r="K18" s="6">
        <v>0.0</v>
      </c>
      <c r="L18" s="5"/>
    </row>
    <row r="19">
      <c r="B19" s="4" t="s">
        <v>61</v>
      </c>
      <c r="C19" s="4" t="s">
        <v>20</v>
      </c>
      <c r="D19" s="5" t="s">
        <v>62</v>
      </c>
      <c r="E19" s="6">
        <v>0.0</v>
      </c>
      <c r="G19" s="4"/>
      <c r="H19" s="4"/>
      <c r="I19" s="5"/>
      <c r="J19" s="4"/>
      <c r="K19" s="6">
        <v>0.0</v>
      </c>
      <c r="L19" s="5"/>
    </row>
    <row r="20">
      <c r="B20" s="11" t="s">
        <v>63</v>
      </c>
      <c r="C20" s="8"/>
      <c r="D20" s="9"/>
      <c r="E20" s="13">
        <f>SUM(E14:E19)</f>
        <v>1200000</v>
      </c>
      <c r="G20" s="4"/>
      <c r="H20" s="4"/>
      <c r="I20" s="5"/>
      <c r="J20" s="4"/>
      <c r="K20" s="6">
        <v>0.0</v>
      </c>
      <c r="L20" s="5"/>
    </row>
    <row r="21" ht="15.75" customHeight="1">
      <c r="G21" s="4"/>
      <c r="H21" s="4"/>
      <c r="I21" s="5"/>
      <c r="J21" s="4"/>
      <c r="K21" s="6">
        <v>0.0</v>
      </c>
      <c r="L21" s="5"/>
    </row>
    <row r="22" ht="15.75" customHeight="1">
      <c r="B22" s="2" t="s">
        <v>73</v>
      </c>
      <c r="G22" s="4"/>
      <c r="H22" s="4"/>
      <c r="I22" s="5"/>
      <c r="J22" s="4"/>
      <c r="K22" s="6">
        <v>0.0</v>
      </c>
      <c r="L22" s="5"/>
    </row>
    <row r="23" ht="15.75" customHeight="1">
      <c r="B23" s="3" t="s">
        <v>3</v>
      </c>
      <c r="C23" s="3" t="s">
        <v>74</v>
      </c>
      <c r="D23" s="3" t="s">
        <v>75</v>
      </c>
      <c r="E23" s="3" t="s">
        <v>6</v>
      </c>
      <c r="G23" s="4"/>
      <c r="H23" s="4"/>
      <c r="I23" s="5"/>
      <c r="J23" s="4"/>
      <c r="K23" s="6">
        <v>0.0</v>
      </c>
      <c r="L23" s="5"/>
    </row>
    <row r="24" ht="15.75" customHeight="1">
      <c r="B24" s="4" t="s">
        <v>76</v>
      </c>
      <c r="C24" s="4" t="s">
        <v>13</v>
      </c>
      <c r="D24" s="5" t="s">
        <v>77</v>
      </c>
      <c r="E24" s="6">
        <v>1000000.0</v>
      </c>
      <c r="G24" s="11" t="s">
        <v>78</v>
      </c>
      <c r="H24" s="8"/>
      <c r="I24" s="8"/>
      <c r="J24" s="9"/>
      <c r="K24" s="13">
        <f>SUM(K6:K23)</f>
        <v>420000</v>
      </c>
    </row>
    <row r="25" ht="15.75" customHeight="1">
      <c r="B25" s="4" t="s">
        <v>79</v>
      </c>
      <c r="C25" s="4" t="s">
        <v>13</v>
      </c>
      <c r="D25" s="5" t="s">
        <v>80</v>
      </c>
      <c r="E25" s="6">
        <v>500000.0</v>
      </c>
    </row>
    <row r="26" ht="15.75" customHeight="1">
      <c r="B26" s="4" t="s">
        <v>81</v>
      </c>
      <c r="C26" s="4" t="s">
        <v>13</v>
      </c>
      <c r="D26" s="5" t="s">
        <v>82</v>
      </c>
      <c r="E26" s="6">
        <v>500000.0</v>
      </c>
      <c r="G26" s="14" t="s">
        <v>83</v>
      </c>
      <c r="H26" s="14" t="s">
        <v>6</v>
      </c>
    </row>
    <row r="27" ht="15.75" customHeight="1">
      <c r="B27" s="4" t="s">
        <v>84</v>
      </c>
      <c r="C27" s="4" t="s">
        <v>13</v>
      </c>
      <c r="D27" s="5" t="s">
        <v>85</v>
      </c>
      <c r="E27" s="6">
        <v>200000.0</v>
      </c>
      <c r="G27" s="12" t="s">
        <v>86</v>
      </c>
      <c r="H27" s="15">
        <f>C31</f>
        <v>4000000</v>
      </c>
    </row>
    <row r="28" ht="15.75" customHeight="1">
      <c r="B28" s="16" t="s">
        <v>87</v>
      </c>
      <c r="C28" s="8"/>
      <c r="D28" s="9"/>
      <c r="E28" s="17">
        <f>SUM(E24:E27)</f>
        <v>2200000</v>
      </c>
      <c r="G28" s="12" t="s">
        <v>88</v>
      </c>
      <c r="H28" s="15">
        <f t="shared" ref="H28:H29" si="1">C34</f>
        <v>1620000</v>
      </c>
    </row>
    <row r="29" ht="15.75" customHeight="1">
      <c r="G29" s="12" t="s">
        <v>89</v>
      </c>
      <c r="H29" s="15">
        <f t="shared" si="1"/>
        <v>2200000</v>
      </c>
    </row>
    <row r="30" ht="15.75" customHeight="1">
      <c r="B30" s="2" t="s">
        <v>133</v>
      </c>
    </row>
    <row r="31" ht="15.75" customHeight="1">
      <c r="B31" s="18" t="s">
        <v>91</v>
      </c>
      <c r="C31" s="15">
        <f>E10</f>
        <v>4000000</v>
      </c>
    </row>
    <row r="32" ht="15.75" customHeight="1">
      <c r="B32" s="18" t="s">
        <v>92</v>
      </c>
      <c r="C32" s="15">
        <f>E20</f>
        <v>1200000</v>
      </c>
    </row>
    <row r="33" ht="15.75" customHeight="1">
      <c r="B33" s="18" t="s">
        <v>94</v>
      </c>
      <c r="C33" s="15">
        <f>K24</f>
        <v>420000</v>
      </c>
    </row>
    <row r="34" ht="15.75" customHeight="1">
      <c r="B34" s="18" t="s">
        <v>95</v>
      </c>
      <c r="C34" s="15">
        <f>C32+C33</f>
        <v>1620000</v>
      </c>
    </row>
    <row r="35" ht="15.75" customHeight="1">
      <c r="B35" s="18" t="s">
        <v>96</v>
      </c>
      <c r="C35" s="15">
        <f>E28</f>
        <v>2200000</v>
      </c>
    </row>
    <row r="36" ht="15.75" customHeight="1">
      <c r="B36" s="18" t="s">
        <v>97</v>
      </c>
      <c r="C36" s="15">
        <f>C31-C34-C35</f>
        <v>180000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0:D10"/>
    <mergeCell ref="B20:D20"/>
    <mergeCell ref="G24:J24"/>
    <mergeCell ref="B28:D2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0.0"/>
    <col customWidth="1" min="4" max="4" width="18.0"/>
    <col customWidth="1" min="5" max="5" width="14.0"/>
    <col customWidth="1" min="6" max="6" width="3.0"/>
    <col customWidth="1" min="7" max="8" width="12.0"/>
    <col customWidth="1" min="9" max="9" width="18.0"/>
    <col customWidth="1" min="10" max="10" width="12.0"/>
    <col customWidth="1" min="11" max="12" width="14.0"/>
    <col customWidth="1" min="13" max="26" width="8.71"/>
  </cols>
  <sheetData>
    <row r="2">
      <c r="B2" s="1" t="s">
        <v>134</v>
      </c>
    </row>
    <row r="4">
      <c r="B4" s="2" t="s">
        <v>1</v>
      </c>
      <c r="G4" s="2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6</v>
      </c>
      <c r="L5" s="3" t="s">
        <v>11</v>
      </c>
    </row>
    <row r="6">
      <c r="B6" s="4" t="s">
        <v>12</v>
      </c>
      <c r="C6" s="4" t="s">
        <v>13</v>
      </c>
      <c r="D6" s="5" t="s">
        <v>14</v>
      </c>
      <c r="E6" s="6">
        <v>4000000.0</v>
      </c>
      <c r="G6" s="4" t="s">
        <v>135</v>
      </c>
      <c r="H6" s="4" t="s">
        <v>16</v>
      </c>
      <c r="I6" s="5" t="s">
        <v>17</v>
      </c>
      <c r="J6" s="4" t="s">
        <v>18</v>
      </c>
      <c r="K6" s="6">
        <v>150000.0</v>
      </c>
      <c r="L6" s="5"/>
    </row>
    <row r="7">
      <c r="B7" s="4" t="s">
        <v>19</v>
      </c>
      <c r="C7" s="4" t="s">
        <v>20</v>
      </c>
      <c r="D7" s="5" t="s">
        <v>21</v>
      </c>
      <c r="E7" s="6">
        <v>0.0</v>
      </c>
      <c r="G7" s="4" t="s">
        <v>136</v>
      </c>
      <c r="H7" s="4" t="s">
        <v>23</v>
      </c>
      <c r="I7" s="5" t="s">
        <v>24</v>
      </c>
      <c r="J7" s="4" t="s">
        <v>18</v>
      </c>
      <c r="K7" s="6">
        <v>80000.0</v>
      </c>
      <c r="L7" s="5"/>
    </row>
    <row r="8">
      <c r="B8" s="4" t="s">
        <v>25</v>
      </c>
      <c r="C8" s="4" t="s">
        <v>20</v>
      </c>
      <c r="D8" s="5" t="s">
        <v>26</v>
      </c>
      <c r="E8" s="6">
        <v>0.0</v>
      </c>
      <c r="G8" s="4" t="s">
        <v>137</v>
      </c>
      <c r="H8" s="4" t="s">
        <v>28</v>
      </c>
      <c r="I8" s="5" t="s">
        <v>29</v>
      </c>
      <c r="J8" s="4" t="s">
        <v>30</v>
      </c>
      <c r="K8" s="6">
        <v>70000.0</v>
      </c>
      <c r="L8" s="5"/>
    </row>
    <row r="9">
      <c r="B9" s="4" t="s">
        <v>31</v>
      </c>
      <c r="C9" s="4" t="s">
        <v>20</v>
      </c>
      <c r="D9" s="5" t="s">
        <v>32</v>
      </c>
      <c r="E9" s="6">
        <v>0.0</v>
      </c>
      <c r="G9" s="4" t="s">
        <v>138</v>
      </c>
      <c r="H9" s="4" t="s">
        <v>34</v>
      </c>
      <c r="I9" s="5" t="s">
        <v>35</v>
      </c>
      <c r="J9" s="4" t="s">
        <v>18</v>
      </c>
      <c r="K9" s="6">
        <v>50000.0</v>
      </c>
      <c r="L9" s="5"/>
    </row>
    <row r="10">
      <c r="B10" s="7" t="s">
        <v>36</v>
      </c>
      <c r="C10" s="8"/>
      <c r="D10" s="9"/>
      <c r="E10" s="10">
        <f>SUM(E6:E9)</f>
        <v>4000000</v>
      </c>
      <c r="G10" s="4" t="s">
        <v>139</v>
      </c>
      <c r="H10" s="4" t="s">
        <v>38</v>
      </c>
      <c r="I10" s="5" t="s">
        <v>39</v>
      </c>
      <c r="J10" s="4" t="s">
        <v>18</v>
      </c>
      <c r="K10" s="6">
        <v>40000.0</v>
      </c>
      <c r="L10" s="5"/>
    </row>
    <row r="11">
      <c r="G11" s="4" t="s">
        <v>140</v>
      </c>
      <c r="H11" s="4" t="s">
        <v>41</v>
      </c>
      <c r="I11" s="5" t="s">
        <v>42</v>
      </c>
      <c r="J11" s="4" t="s">
        <v>30</v>
      </c>
      <c r="K11" s="6">
        <v>30000.0</v>
      </c>
      <c r="L11" s="5"/>
    </row>
    <row r="12">
      <c r="B12" s="2" t="s">
        <v>43</v>
      </c>
      <c r="G12" s="4"/>
      <c r="H12" s="4"/>
      <c r="I12" s="5"/>
      <c r="J12" s="4"/>
      <c r="K12" s="6">
        <v>0.0</v>
      </c>
      <c r="L12" s="5"/>
    </row>
    <row r="13">
      <c r="B13" s="3" t="s">
        <v>3</v>
      </c>
      <c r="C13" s="3" t="s">
        <v>44</v>
      </c>
      <c r="D13" s="3" t="s">
        <v>45</v>
      </c>
      <c r="E13" s="3" t="s">
        <v>6</v>
      </c>
      <c r="G13" s="4"/>
      <c r="H13" s="4"/>
      <c r="I13" s="5"/>
      <c r="J13" s="4"/>
      <c r="K13" s="6">
        <v>0.0</v>
      </c>
      <c r="L13" s="5"/>
    </row>
    <row r="14">
      <c r="B14" s="4" t="s">
        <v>46</v>
      </c>
      <c r="C14" s="4" t="s">
        <v>47</v>
      </c>
      <c r="D14" s="5" t="s">
        <v>48</v>
      </c>
      <c r="E14" s="6">
        <v>300000.0</v>
      </c>
      <c r="G14" s="4"/>
      <c r="H14" s="4"/>
      <c r="I14" s="5"/>
      <c r="J14" s="4"/>
      <c r="K14" s="6">
        <v>0.0</v>
      </c>
      <c r="L14" s="5"/>
    </row>
    <row r="15">
      <c r="B15" s="4" t="s">
        <v>49</v>
      </c>
      <c r="C15" s="4" t="s">
        <v>50</v>
      </c>
      <c r="D15" s="5" t="s">
        <v>51</v>
      </c>
      <c r="E15" s="6">
        <v>120000.0</v>
      </c>
      <c r="G15" s="4"/>
      <c r="H15" s="4"/>
      <c r="I15" s="5"/>
      <c r="J15" s="4"/>
      <c r="K15" s="6">
        <v>0.0</v>
      </c>
      <c r="L15" s="5"/>
    </row>
    <row r="16">
      <c r="B16" s="4" t="s">
        <v>52</v>
      </c>
      <c r="C16" s="4" t="s">
        <v>53</v>
      </c>
      <c r="D16" s="5" t="s">
        <v>54</v>
      </c>
      <c r="E16" s="6">
        <v>250000.0</v>
      </c>
      <c r="G16" s="4"/>
      <c r="H16" s="4"/>
      <c r="I16" s="5"/>
      <c r="J16" s="4"/>
      <c r="K16" s="6">
        <v>0.0</v>
      </c>
      <c r="L16" s="5"/>
    </row>
    <row r="17">
      <c r="B17" s="4" t="s">
        <v>55</v>
      </c>
      <c r="C17" s="4" t="s">
        <v>13</v>
      </c>
      <c r="D17" s="5" t="s">
        <v>56</v>
      </c>
      <c r="E17" s="6">
        <v>500000.0</v>
      </c>
      <c r="G17" s="4"/>
      <c r="H17" s="4"/>
      <c r="I17" s="5"/>
      <c r="J17" s="4"/>
      <c r="K17" s="6">
        <v>0.0</v>
      </c>
      <c r="L17" s="5"/>
    </row>
    <row r="18">
      <c r="B18" s="4" t="s">
        <v>57</v>
      </c>
      <c r="C18" s="4" t="s">
        <v>58</v>
      </c>
      <c r="D18" s="5" t="s">
        <v>59</v>
      </c>
      <c r="E18" s="6">
        <v>30000.0</v>
      </c>
      <c r="G18" s="4"/>
      <c r="H18" s="4"/>
      <c r="I18" s="5"/>
      <c r="J18" s="4"/>
      <c r="K18" s="6">
        <v>0.0</v>
      </c>
      <c r="L18" s="5"/>
    </row>
    <row r="19">
      <c r="B19" s="4" t="s">
        <v>61</v>
      </c>
      <c r="C19" s="4" t="s">
        <v>20</v>
      </c>
      <c r="D19" s="5" t="s">
        <v>62</v>
      </c>
      <c r="E19" s="6">
        <v>0.0</v>
      </c>
      <c r="G19" s="4"/>
      <c r="H19" s="4"/>
      <c r="I19" s="5"/>
      <c r="J19" s="4"/>
      <c r="K19" s="6">
        <v>0.0</v>
      </c>
      <c r="L19" s="5"/>
    </row>
    <row r="20">
      <c r="B20" s="11" t="s">
        <v>63</v>
      </c>
      <c r="C20" s="8"/>
      <c r="D20" s="9"/>
      <c r="E20" s="13">
        <f>SUM(E14:E19)</f>
        <v>1200000</v>
      </c>
      <c r="G20" s="4"/>
      <c r="H20" s="4"/>
      <c r="I20" s="5"/>
      <c r="J20" s="4"/>
      <c r="K20" s="6">
        <v>0.0</v>
      </c>
      <c r="L20" s="5"/>
    </row>
    <row r="21" ht="15.75" customHeight="1">
      <c r="G21" s="4"/>
      <c r="H21" s="4"/>
      <c r="I21" s="5"/>
      <c r="J21" s="4"/>
      <c r="K21" s="6">
        <v>0.0</v>
      </c>
      <c r="L21" s="5"/>
    </row>
    <row r="22" ht="15.75" customHeight="1">
      <c r="B22" s="2" t="s">
        <v>73</v>
      </c>
      <c r="G22" s="4"/>
      <c r="H22" s="4"/>
      <c r="I22" s="5"/>
      <c r="J22" s="4"/>
      <c r="K22" s="6">
        <v>0.0</v>
      </c>
      <c r="L22" s="5"/>
    </row>
    <row r="23" ht="15.75" customHeight="1">
      <c r="B23" s="3" t="s">
        <v>3</v>
      </c>
      <c r="C23" s="3" t="s">
        <v>74</v>
      </c>
      <c r="D23" s="3" t="s">
        <v>75</v>
      </c>
      <c r="E23" s="3" t="s">
        <v>6</v>
      </c>
      <c r="G23" s="4"/>
      <c r="H23" s="4"/>
      <c r="I23" s="5"/>
      <c r="J23" s="4"/>
      <c r="K23" s="6">
        <v>0.0</v>
      </c>
      <c r="L23" s="5"/>
    </row>
    <row r="24" ht="15.75" customHeight="1">
      <c r="B24" s="4" t="s">
        <v>76</v>
      </c>
      <c r="C24" s="4" t="s">
        <v>13</v>
      </c>
      <c r="D24" s="5" t="s">
        <v>77</v>
      </c>
      <c r="E24" s="6">
        <v>1000000.0</v>
      </c>
      <c r="G24" s="11" t="s">
        <v>78</v>
      </c>
      <c r="H24" s="8"/>
      <c r="I24" s="8"/>
      <c r="J24" s="9"/>
      <c r="K24" s="13">
        <f>SUM(K6:K23)</f>
        <v>420000</v>
      </c>
    </row>
    <row r="25" ht="15.75" customHeight="1">
      <c r="B25" s="4" t="s">
        <v>79</v>
      </c>
      <c r="C25" s="4" t="s">
        <v>13</v>
      </c>
      <c r="D25" s="5" t="s">
        <v>80</v>
      </c>
      <c r="E25" s="6">
        <v>500000.0</v>
      </c>
    </row>
    <row r="26" ht="15.75" customHeight="1">
      <c r="B26" s="4" t="s">
        <v>81</v>
      </c>
      <c r="C26" s="4" t="s">
        <v>13</v>
      </c>
      <c r="D26" s="5" t="s">
        <v>82</v>
      </c>
      <c r="E26" s="6">
        <v>500000.0</v>
      </c>
      <c r="G26" s="14" t="s">
        <v>83</v>
      </c>
      <c r="H26" s="14" t="s">
        <v>6</v>
      </c>
    </row>
    <row r="27" ht="15.75" customHeight="1">
      <c r="B27" s="4" t="s">
        <v>84</v>
      </c>
      <c r="C27" s="4" t="s">
        <v>13</v>
      </c>
      <c r="D27" s="5" t="s">
        <v>85</v>
      </c>
      <c r="E27" s="6">
        <v>200000.0</v>
      </c>
      <c r="G27" s="12" t="s">
        <v>86</v>
      </c>
      <c r="H27" s="15">
        <f>C31</f>
        <v>4000000</v>
      </c>
    </row>
    <row r="28" ht="15.75" customHeight="1">
      <c r="B28" s="16" t="s">
        <v>87</v>
      </c>
      <c r="C28" s="8"/>
      <c r="D28" s="9"/>
      <c r="E28" s="17">
        <f>SUM(E24:E27)</f>
        <v>2200000</v>
      </c>
      <c r="G28" s="12" t="s">
        <v>88</v>
      </c>
      <c r="H28" s="15">
        <f t="shared" ref="H28:H29" si="1">C34</f>
        <v>1620000</v>
      </c>
    </row>
    <row r="29" ht="15.75" customHeight="1">
      <c r="G29" s="12" t="s">
        <v>89</v>
      </c>
      <c r="H29" s="15">
        <f t="shared" si="1"/>
        <v>2200000</v>
      </c>
    </row>
    <row r="30" ht="15.75" customHeight="1">
      <c r="B30" s="2" t="s">
        <v>142</v>
      </c>
    </row>
    <row r="31" ht="15.75" customHeight="1">
      <c r="B31" s="18" t="s">
        <v>91</v>
      </c>
      <c r="C31" s="15">
        <f>E10</f>
        <v>4000000</v>
      </c>
    </row>
    <row r="32" ht="15.75" customHeight="1">
      <c r="B32" s="18" t="s">
        <v>92</v>
      </c>
      <c r="C32" s="15">
        <f>E20</f>
        <v>1200000</v>
      </c>
    </row>
    <row r="33" ht="15.75" customHeight="1">
      <c r="B33" s="18" t="s">
        <v>94</v>
      </c>
      <c r="C33" s="15">
        <f>K24</f>
        <v>420000</v>
      </c>
    </row>
    <row r="34" ht="15.75" customHeight="1">
      <c r="B34" s="18" t="s">
        <v>95</v>
      </c>
      <c r="C34" s="15">
        <f>C32+C33</f>
        <v>1620000</v>
      </c>
    </row>
    <row r="35" ht="15.75" customHeight="1">
      <c r="B35" s="18" t="s">
        <v>96</v>
      </c>
      <c r="C35" s="15">
        <f>E28</f>
        <v>2200000</v>
      </c>
    </row>
    <row r="36" ht="15.75" customHeight="1">
      <c r="B36" s="18" t="s">
        <v>97</v>
      </c>
      <c r="C36" s="15">
        <f>C31-C34-C35</f>
        <v>180000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0:D10"/>
    <mergeCell ref="B20:D20"/>
    <mergeCell ref="G24:J24"/>
    <mergeCell ref="B28:D2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0.0"/>
    <col customWidth="1" min="4" max="4" width="18.0"/>
    <col customWidth="1" min="5" max="5" width="14.0"/>
    <col customWidth="1" min="6" max="6" width="3.0"/>
    <col customWidth="1" min="7" max="8" width="12.0"/>
    <col customWidth="1" min="9" max="9" width="18.0"/>
    <col customWidth="1" min="10" max="10" width="12.0"/>
    <col customWidth="1" min="11" max="12" width="14.0"/>
    <col customWidth="1" min="13" max="26" width="8.71"/>
  </cols>
  <sheetData>
    <row r="2">
      <c r="B2" s="1" t="s">
        <v>141</v>
      </c>
    </row>
    <row r="4">
      <c r="B4" s="2" t="s">
        <v>1</v>
      </c>
      <c r="G4" s="2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6</v>
      </c>
      <c r="L5" s="3" t="s">
        <v>11</v>
      </c>
    </row>
    <row r="6">
      <c r="B6" s="4" t="s">
        <v>12</v>
      </c>
      <c r="C6" s="4" t="s">
        <v>13</v>
      </c>
      <c r="D6" s="5" t="s">
        <v>14</v>
      </c>
      <c r="E6" s="6">
        <v>4000000.0</v>
      </c>
      <c r="G6" s="4" t="s">
        <v>143</v>
      </c>
      <c r="H6" s="4" t="s">
        <v>16</v>
      </c>
      <c r="I6" s="5" t="s">
        <v>17</v>
      </c>
      <c r="J6" s="4" t="s">
        <v>18</v>
      </c>
      <c r="K6" s="6">
        <v>150000.0</v>
      </c>
      <c r="L6" s="5"/>
    </row>
    <row r="7">
      <c r="B7" s="4" t="s">
        <v>19</v>
      </c>
      <c r="C7" s="4" t="s">
        <v>20</v>
      </c>
      <c r="D7" s="5" t="s">
        <v>21</v>
      </c>
      <c r="E7" s="6">
        <v>0.0</v>
      </c>
      <c r="G7" s="4" t="s">
        <v>144</v>
      </c>
      <c r="H7" s="4" t="s">
        <v>23</v>
      </c>
      <c r="I7" s="5" t="s">
        <v>24</v>
      </c>
      <c r="J7" s="4" t="s">
        <v>18</v>
      </c>
      <c r="K7" s="6">
        <v>80000.0</v>
      </c>
      <c r="L7" s="5"/>
    </row>
    <row r="8">
      <c r="B8" s="4" t="s">
        <v>25</v>
      </c>
      <c r="C8" s="4" t="s">
        <v>20</v>
      </c>
      <c r="D8" s="5" t="s">
        <v>26</v>
      </c>
      <c r="E8" s="6">
        <v>0.0</v>
      </c>
      <c r="G8" s="4" t="s">
        <v>145</v>
      </c>
      <c r="H8" s="4" t="s">
        <v>28</v>
      </c>
      <c r="I8" s="5" t="s">
        <v>29</v>
      </c>
      <c r="J8" s="4" t="s">
        <v>30</v>
      </c>
      <c r="K8" s="6">
        <v>70000.0</v>
      </c>
      <c r="L8" s="5"/>
    </row>
    <row r="9">
      <c r="B9" s="4" t="s">
        <v>31</v>
      </c>
      <c r="C9" s="4" t="s">
        <v>20</v>
      </c>
      <c r="D9" s="5" t="s">
        <v>32</v>
      </c>
      <c r="E9" s="6">
        <v>0.0</v>
      </c>
      <c r="G9" s="4" t="s">
        <v>146</v>
      </c>
      <c r="H9" s="4" t="s">
        <v>34</v>
      </c>
      <c r="I9" s="5" t="s">
        <v>35</v>
      </c>
      <c r="J9" s="4" t="s">
        <v>18</v>
      </c>
      <c r="K9" s="6">
        <v>50000.0</v>
      </c>
      <c r="L9" s="5"/>
    </row>
    <row r="10">
      <c r="B10" s="7" t="s">
        <v>36</v>
      </c>
      <c r="C10" s="8"/>
      <c r="D10" s="9"/>
      <c r="E10" s="10">
        <f>SUM(E6:E9)</f>
        <v>4000000</v>
      </c>
      <c r="G10" s="4" t="s">
        <v>147</v>
      </c>
      <c r="H10" s="4" t="s">
        <v>38</v>
      </c>
      <c r="I10" s="5" t="s">
        <v>39</v>
      </c>
      <c r="J10" s="4" t="s">
        <v>18</v>
      </c>
      <c r="K10" s="6">
        <v>40000.0</v>
      </c>
      <c r="L10" s="5"/>
    </row>
    <row r="11">
      <c r="G11" s="4" t="s">
        <v>148</v>
      </c>
      <c r="H11" s="4" t="s">
        <v>41</v>
      </c>
      <c r="I11" s="5" t="s">
        <v>42</v>
      </c>
      <c r="J11" s="4" t="s">
        <v>30</v>
      </c>
      <c r="K11" s="6">
        <v>30000.0</v>
      </c>
      <c r="L11" s="5"/>
    </row>
    <row r="12">
      <c r="B12" s="2" t="s">
        <v>43</v>
      </c>
      <c r="G12" s="4"/>
      <c r="H12" s="4"/>
      <c r="I12" s="5"/>
      <c r="J12" s="4"/>
      <c r="K12" s="6">
        <v>0.0</v>
      </c>
      <c r="L12" s="5"/>
    </row>
    <row r="13">
      <c r="B13" s="3" t="s">
        <v>3</v>
      </c>
      <c r="C13" s="3" t="s">
        <v>44</v>
      </c>
      <c r="D13" s="3" t="s">
        <v>45</v>
      </c>
      <c r="E13" s="3" t="s">
        <v>6</v>
      </c>
      <c r="G13" s="4"/>
      <c r="H13" s="4"/>
      <c r="I13" s="5"/>
      <c r="J13" s="4"/>
      <c r="K13" s="6">
        <v>0.0</v>
      </c>
      <c r="L13" s="5"/>
    </row>
    <row r="14">
      <c r="B14" s="4" t="s">
        <v>46</v>
      </c>
      <c r="C14" s="4" t="s">
        <v>47</v>
      </c>
      <c r="D14" s="5" t="s">
        <v>48</v>
      </c>
      <c r="E14" s="6">
        <v>300000.0</v>
      </c>
      <c r="G14" s="4"/>
      <c r="H14" s="4"/>
      <c r="I14" s="5"/>
      <c r="J14" s="4"/>
      <c r="K14" s="6">
        <v>0.0</v>
      </c>
      <c r="L14" s="5"/>
    </row>
    <row r="15">
      <c r="B15" s="4" t="s">
        <v>49</v>
      </c>
      <c r="C15" s="4" t="s">
        <v>50</v>
      </c>
      <c r="D15" s="5" t="s">
        <v>51</v>
      </c>
      <c r="E15" s="6">
        <v>120000.0</v>
      </c>
      <c r="G15" s="4"/>
      <c r="H15" s="4"/>
      <c r="I15" s="5"/>
      <c r="J15" s="4"/>
      <c r="K15" s="6">
        <v>0.0</v>
      </c>
      <c r="L15" s="5"/>
    </row>
    <row r="16">
      <c r="B16" s="4" t="s">
        <v>52</v>
      </c>
      <c r="C16" s="4" t="s">
        <v>53</v>
      </c>
      <c r="D16" s="5" t="s">
        <v>54</v>
      </c>
      <c r="E16" s="6">
        <v>250000.0</v>
      </c>
      <c r="G16" s="4"/>
      <c r="H16" s="4"/>
      <c r="I16" s="5"/>
      <c r="J16" s="4"/>
      <c r="K16" s="6">
        <v>0.0</v>
      </c>
      <c r="L16" s="5"/>
    </row>
    <row r="17">
      <c r="B17" s="4" t="s">
        <v>55</v>
      </c>
      <c r="C17" s="4" t="s">
        <v>13</v>
      </c>
      <c r="D17" s="5" t="s">
        <v>56</v>
      </c>
      <c r="E17" s="6">
        <v>500000.0</v>
      </c>
      <c r="G17" s="4"/>
      <c r="H17" s="4"/>
      <c r="I17" s="5"/>
      <c r="J17" s="4"/>
      <c r="K17" s="6">
        <v>0.0</v>
      </c>
      <c r="L17" s="5"/>
    </row>
    <row r="18">
      <c r="B18" s="4" t="s">
        <v>57</v>
      </c>
      <c r="C18" s="4" t="s">
        <v>58</v>
      </c>
      <c r="D18" s="5" t="s">
        <v>59</v>
      </c>
      <c r="E18" s="6">
        <v>30000.0</v>
      </c>
      <c r="G18" s="4"/>
      <c r="H18" s="4"/>
      <c r="I18" s="5"/>
      <c r="J18" s="4"/>
      <c r="K18" s="6">
        <v>0.0</v>
      </c>
      <c r="L18" s="5"/>
    </row>
    <row r="19">
      <c r="B19" s="4" t="s">
        <v>61</v>
      </c>
      <c r="C19" s="4" t="s">
        <v>20</v>
      </c>
      <c r="D19" s="5" t="s">
        <v>62</v>
      </c>
      <c r="E19" s="6">
        <v>0.0</v>
      </c>
      <c r="G19" s="4"/>
      <c r="H19" s="4"/>
      <c r="I19" s="5"/>
      <c r="J19" s="4"/>
      <c r="K19" s="6">
        <v>0.0</v>
      </c>
      <c r="L19" s="5"/>
    </row>
    <row r="20">
      <c r="B20" s="11" t="s">
        <v>63</v>
      </c>
      <c r="C20" s="8"/>
      <c r="D20" s="9"/>
      <c r="E20" s="13">
        <f>SUM(E14:E19)</f>
        <v>1200000</v>
      </c>
      <c r="G20" s="4"/>
      <c r="H20" s="4"/>
      <c r="I20" s="5"/>
      <c r="J20" s="4"/>
      <c r="K20" s="6">
        <v>0.0</v>
      </c>
      <c r="L20" s="5"/>
    </row>
    <row r="21" ht="15.75" customHeight="1">
      <c r="G21" s="4"/>
      <c r="H21" s="4"/>
      <c r="I21" s="5"/>
      <c r="J21" s="4"/>
      <c r="K21" s="6">
        <v>0.0</v>
      </c>
      <c r="L21" s="5"/>
    </row>
    <row r="22" ht="15.75" customHeight="1">
      <c r="B22" s="2" t="s">
        <v>73</v>
      </c>
      <c r="G22" s="4"/>
      <c r="H22" s="4"/>
      <c r="I22" s="5"/>
      <c r="J22" s="4"/>
      <c r="K22" s="6">
        <v>0.0</v>
      </c>
      <c r="L22" s="5"/>
    </row>
    <row r="23" ht="15.75" customHeight="1">
      <c r="B23" s="3" t="s">
        <v>3</v>
      </c>
      <c r="C23" s="3" t="s">
        <v>74</v>
      </c>
      <c r="D23" s="3" t="s">
        <v>75</v>
      </c>
      <c r="E23" s="3" t="s">
        <v>6</v>
      </c>
      <c r="G23" s="4"/>
      <c r="H23" s="4"/>
      <c r="I23" s="5"/>
      <c r="J23" s="4"/>
      <c r="K23" s="6">
        <v>0.0</v>
      </c>
      <c r="L23" s="5"/>
    </row>
    <row r="24" ht="15.75" customHeight="1">
      <c r="B24" s="4" t="s">
        <v>76</v>
      </c>
      <c r="C24" s="4" t="s">
        <v>13</v>
      </c>
      <c r="D24" s="5" t="s">
        <v>77</v>
      </c>
      <c r="E24" s="6">
        <v>1000000.0</v>
      </c>
      <c r="G24" s="11" t="s">
        <v>78</v>
      </c>
      <c r="H24" s="8"/>
      <c r="I24" s="8"/>
      <c r="J24" s="9"/>
      <c r="K24" s="13">
        <f>SUM(K6:K23)</f>
        <v>420000</v>
      </c>
    </row>
    <row r="25" ht="15.75" customHeight="1">
      <c r="B25" s="4" t="s">
        <v>79</v>
      </c>
      <c r="C25" s="4" t="s">
        <v>13</v>
      </c>
      <c r="D25" s="5" t="s">
        <v>80</v>
      </c>
      <c r="E25" s="6">
        <v>500000.0</v>
      </c>
    </row>
    <row r="26" ht="15.75" customHeight="1">
      <c r="B26" s="4" t="s">
        <v>81</v>
      </c>
      <c r="C26" s="4" t="s">
        <v>13</v>
      </c>
      <c r="D26" s="5" t="s">
        <v>82</v>
      </c>
      <c r="E26" s="6">
        <v>500000.0</v>
      </c>
      <c r="G26" s="14" t="s">
        <v>83</v>
      </c>
      <c r="H26" s="14" t="s">
        <v>6</v>
      </c>
    </row>
    <row r="27" ht="15.75" customHeight="1">
      <c r="B27" s="4" t="s">
        <v>84</v>
      </c>
      <c r="C27" s="4" t="s">
        <v>13</v>
      </c>
      <c r="D27" s="5" t="s">
        <v>85</v>
      </c>
      <c r="E27" s="6">
        <v>200000.0</v>
      </c>
      <c r="G27" s="12" t="s">
        <v>86</v>
      </c>
      <c r="H27" s="15">
        <f>C31</f>
        <v>4000000</v>
      </c>
    </row>
    <row r="28" ht="15.75" customHeight="1">
      <c r="B28" s="16" t="s">
        <v>87</v>
      </c>
      <c r="C28" s="8"/>
      <c r="D28" s="9"/>
      <c r="E28" s="17">
        <f>SUM(E24:E27)</f>
        <v>2200000</v>
      </c>
      <c r="G28" s="12" t="s">
        <v>88</v>
      </c>
      <c r="H28" s="15">
        <f t="shared" ref="H28:H29" si="1">C34</f>
        <v>1620000</v>
      </c>
    </row>
    <row r="29" ht="15.75" customHeight="1">
      <c r="G29" s="12" t="s">
        <v>89</v>
      </c>
      <c r="H29" s="15">
        <f t="shared" si="1"/>
        <v>2200000</v>
      </c>
    </row>
    <row r="30" ht="15.75" customHeight="1">
      <c r="B30" s="2" t="s">
        <v>156</v>
      </c>
    </row>
    <row r="31" ht="15.75" customHeight="1">
      <c r="B31" s="18" t="s">
        <v>91</v>
      </c>
      <c r="C31" s="15">
        <f>E10</f>
        <v>4000000</v>
      </c>
    </row>
    <row r="32" ht="15.75" customHeight="1">
      <c r="B32" s="18" t="s">
        <v>92</v>
      </c>
      <c r="C32" s="15">
        <f>E20</f>
        <v>1200000</v>
      </c>
    </row>
    <row r="33" ht="15.75" customHeight="1">
      <c r="B33" s="18" t="s">
        <v>94</v>
      </c>
      <c r="C33" s="15">
        <f>K24</f>
        <v>420000</v>
      </c>
    </row>
    <row r="34" ht="15.75" customHeight="1">
      <c r="B34" s="18" t="s">
        <v>95</v>
      </c>
      <c r="C34" s="15">
        <f>C32+C33</f>
        <v>1620000</v>
      </c>
    </row>
    <row r="35" ht="15.75" customHeight="1">
      <c r="B35" s="18" t="s">
        <v>96</v>
      </c>
      <c r="C35" s="15">
        <f>E28</f>
        <v>2200000</v>
      </c>
    </row>
    <row r="36" ht="15.75" customHeight="1">
      <c r="B36" s="18" t="s">
        <v>97</v>
      </c>
      <c r="C36" s="15">
        <f>C31-C34-C35</f>
        <v>180000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0:D10"/>
    <mergeCell ref="B20:D20"/>
    <mergeCell ref="G24:J24"/>
    <mergeCell ref="B28:D28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0.0"/>
    <col customWidth="1" min="4" max="4" width="18.0"/>
    <col customWidth="1" min="5" max="5" width="14.0"/>
    <col customWidth="1" min="6" max="6" width="3.0"/>
    <col customWidth="1" min="7" max="8" width="12.0"/>
    <col customWidth="1" min="9" max="9" width="18.0"/>
    <col customWidth="1" min="10" max="10" width="12.0"/>
    <col customWidth="1" min="11" max="12" width="14.0"/>
    <col customWidth="1" min="13" max="26" width="8.71"/>
  </cols>
  <sheetData>
    <row r="2">
      <c r="B2" s="1" t="s">
        <v>149</v>
      </c>
    </row>
    <row r="4">
      <c r="B4" s="2" t="s">
        <v>1</v>
      </c>
      <c r="G4" s="2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6</v>
      </c>
      <c r="L5" s="3" t="s">
        <v>11</v>
      </c>
    </row>
    <row r="6">
      <c r="B6" s="4" t="s">
        <v>12</v>
      </c>
      <c r="C6" s="4" t="s">
        <v>13</v>
      </c>
      <c r="D6" s="5" t="s">
        <v>14</v>
      </c>
      <c r="E6" s="6">
        <v>4000000.0</v>
      </c>
      <c r="G6" s="4" t="s">
        <v>150</v>
      </c>
      <c r="H6" s="4" t="s">
        <v>16</v>
      </c>
      <c r="I6" s="5" t="s">
        <v>17</v>
      </c>
      <c r="J6" s="4" t="s">
        <v>18</v>
      </c>
      <c r="K6" s="6">
        <v>150000.0</v>
      </c>
      <c r="L6" s="5"/>
    </row>
    <row r="7">
      <c r="B7" s="4" t="s">
        <v>19</v>
      </c>
      <c r="C7" s="4" t="s">
        <v>20</v>
      </c>
      <c r="D7" s="5" t="s">
        <v>21</v>
      </c>
      <c r="E7" s="6">
        <v>0.0</v>
      </c>
      <c r="G7" s="4" t="s">
        <v>151</v>
      </c>
      <c r="H7" s="4" t="s">
        <v>23</v>
      </c>
      <c r="I7" s="5" t="s">
        <v>24</v>
      </c>
      <c r="J7" s="4" t="s">
        <v>18</v>
      </c>
      <c r="K7" s="6">
        <v>80000.0</v>
      </c>
      <c r="L7" s="5"/>
    </row>
    <row r="8">
      <c r="B8" s="4" t="s">
        <v>25</v>
      </c>
      <c r="C8" s="4" t="s">
        <v>20</v>
      </c>
      <c r="D8" s="5" t="s">
        <v>26</v>
      </c>
      <c r="E8" s="6">
        <v>0.0</v>
      </c>
      <c r="G8" s="4" t="s">
        <v>152</v>
      </c>
      <c r="H8" s="4" t="s">
        <v>28</v>
      </c>
      <c r="I8" s="5" t="s">
        <v>29</v>
      </c>
      <c r="J8" s="4" t="s">
        <v>30</v>
      </c>
      <c r="K8" s="6">
        <v>70000.0</v>
      </c>
      <c r="L8" s="5"/>
    </row>
    <row r="9">
      <c r="B9" s="4" t="s">
        <v>31</v>
      </c>
      <c r="C9" s="4" t="s">
        <v>20</v>
      </c>
      <c r="D9" s="5" t="s">
        <v>32</v>
      </c>
      <c r="E9" s="6">
        <v>0.0</v>
      </c>
      <c r="G9" s="4" t="s">
        <v>153</v>
      </c>
      <c r="H9" s="4" t="s">
        <v>34</v>
      </c>
      <c r="I9" s="5" t="s">
        <v>35</v>
      </c>
      <c r="J9" s="4" t="s">
        <v>18</v>
      </c>
      <c r="K9" s="6">
        <v>50000.0</v>
      </c>
      <c r="L9" s="5"/>
    </row>
    <row r="10">
      <c r="B10" s="7" t="s">
        <v>36</v>
      </c>
      <c r="C10" s="8"/>
      <c r="D10" s="9"/>
      <c r="E10" s="10">
        <f>SUM(E6:E9)</f>
        <v>4000000</v>
      </c>
      <c r="G10" s="4" t="s">
        <v>154</v>
      </c>
      <c r="H10" s="4" t="s">
        <v>38</v>
      </c>
      <c r="I10" s="5" t="s">
        <v>39</v>
      </c>
      <c r="J10" s="4" t="s">
        <v>18</v>
      </c>
      <c r="K10" s="6">
        <v>40000.0</v>
      </c>
      <c r="L10" s="5"/>
    </row>
    <row r="11">
      <c r="G11" s="4" t="s">
        <v>155</v>
      </c>
      <c r="H11" s="4" t="s">
        <v>41</v>
      </c>
      <c r="I11" s="5" t="s">
        <v>42</v>
      </c>
      <c r="J11" s="4" t="s">
        <v>30</v>
      </c>
      <c r="K11" s="6">
        <v>30000.0</v>
      </c>
      <c r="L11" s="5"/>
    </row>
    <row r="12">
      <c r="B12" s="2" t="s">
        <v>43</v>
      </c>
      <c r="G12" s="4"/>
      <c r="H12" s="4"/>
      <c r="I12" s="5"/>
      <c r="J12" s="4"/>
      <c r="K12" s="6">
        <v>0.0</v>
      </c>
      <c r="L12" s="5"/>
    </row>
    <row r="13">
      <c r="B13" s="3" t="s">
        <v>3</v>
      </c>
      <c r="C13" s="3" t="s">
        <v>44</v>
      </c>
      <c r="D13" s="3" t="s">
        <v>45</v>
      </c>
      <c r="E13" s="3" t="s">
        <v>6</v>
      </c>
      <c r="G13" s="4"/>
      <c r="H13" s="4"/>
      <c r="I13" s="5"/>
      <c r="J13" s="4"/>
      <c r="K13" s="6">
        <v>0.0</v>
      </c>
      <c r="L13" s="5"/>
    </row>
    <row r="14">
      <c r="B14" s="4" t="s">
        <v>46</v>
      </c>
      <c r="C14" s="4" t="s">
        <v>47</v>
      </c>
      <c r="D14" s="5" t="s">
        <v>48</v>
      </c>
      <c r="E14" s="6">
        <v>300000.0</v>
      </c>
      <c r="G14" s="4"/>
      <c r="H14" s="4"/>
      <c r="I14" s="5"/>
      <c r="J14" s="4"/>
      <c r="K14" s="6">
        <v>0.0</v>
      </c>
      <c r="L14" s="5"/>
    </row>
    <row r="15">
      <c r="B15" s="4" t="s">
        <v>49</v>
      </c>
      <c r="C15" s="4" t="s">
        <v>50</v>
      </c>
      <c r="D15" s="5" t="s">
        <v>51</v>
      </c>
      <c r="E15" s="6">
        <v>120000.0</v>
      </c>
      <c r="G15" s="4"/>
      <c r="H15" s="4"/>
      <c r="I15" s="5"/>
      <c r="J15" s="4"/>
      <c r="K15" s="6">
        <v>0.0</v>
      </c>
      <c r="L15" s="5"/>
    </row>
    <row r="16">
      <c r="B16" s="4" t="s">
        <v>52</v>
      </c>
      <c r="C16" s="4" t="s">
        <v>53</v>
      </c>
      <c r="D16" s="5" t="s">
        <v>54</v>
      </c>
      <c r="E16" s="6">
        <v>250000.0</v>
      </c>
      <c r="G16" s="4"/>
      <c r="H16" s="4"/>
      <c r="I16" s="5"/>
      <c r="J16" s="4"/>
      <c r="K16" s="6">
        <v>0.0</v>
      </c>
      <c r="L16" s="5"/>
    </row>
    <row r="17">
      <c r="B17" s="4" t="s">
        <v>55</v>
      </c>
      <c r="C17" s="4" t="s">
        <v>13</v>
      </c>
      <c r="D17" s="5" t="s">
        <v>56</v>
      </c>
      <c r="E17" s="6">
        <v>500000.0</v>
      </c>
      <c r="G17" s="4"/>
      <c r="H17" s="4"/>
      <c r="I17" s="5"/>
      <c r="J17" s="4"/>
      <c r="K17" s="6">
        <v>0.0</v>
      </c>
      <c r="L17" s="5"/>
    </row>
    <row r="18">
      <c r="B18" s="4" t="s">
        <v>57</v>
      </c>
      <c r="C18" s="4" t="s">
        <v>58</v>
      </c>
      <c r="D18" s="5" t="s">
        <v>59</v>
      </c>
      <c r="E18" s="6">
        <v>30000.0</v>
      </c>
      <c r="G18" s="4"/>
      <c r="H18" s="4"/>
      <c r="I18" s="5"/>
      <c r="J18" s="4"/>
      <c r="K18" s="6">
        <v>0.0</v>
      </c>
      <c r="L18" s="5"/>
    </row>
    <row r="19">
      <c r="B19" s="4" t="s">
        <v>61</v>
      </c>
      <c r="C19" s="4" t="s">
        <v>20</v>
      </c>
      <c r="D19" s="5" t="s">
        <v>62</v>
      </c>
      <c r="E19" s="6">
        <v>0.0</v>
      </c>
      <c r="G19" s="4"/>
      <c r="H19" s="4"/>
      <c r="I19" s="5"/>
      <c r="J19" s="4"/>
      <c r="K19" s="6">
        <v>0.0</v>
      </c>
      <c r="L19" s="5"/>
    </row>
    <row r="20">
      <c r="B20" s="11" t="s">
        <v>63</v>
      </c>
      <c r="C20" s="8"/>
      <c r="D20" s="9"/>
      <c r="E20" s="13">
        <f>SUM(E14:E19)</f>
        <v>1200000</v>
      </c>
      <c r="G20" s="4"/>
      <c r="H20" s="4"/>
      <c r="I20" s="5"/>
      <c r="J20" s="4"/>
      <c r="K20" s="6">
        <v>0.0</v>
      </c>
      <c r="L20" s="5"/>
    </row>
    <row r="21" ht="15.75" customHeight="1">
      <c r="G21" s="4"/>
      <c r="H21" s="4"/>
      <c r="I21" s="5"/>
      <c r="J21" s="4"/>
      <c r="K21" s="6">
        <v>0.0</v>
      </c>
      <c r="L21" s="5"/>
    </row>
    <row r="22" ht="15.75" customHeight="1">
      <c r="B22" s="2" t="s">
        <v>73</v>
      </c>
      <c r="G22" s="4"/>
      <c r="H22" s="4"/>
      <c r="I22" s="5"/>
      <c r="J22" s="4"/>
      <c r="K22" s="6">
        <v>0.0</v>
      </c>
      <c r="L22" s="5"/>
    </row>
    <row r="23" ht="15.75" customHeight="1">
      <c r="B23" s="3" t="s">
        <v>3</v>
      </c>
      <c r="C23" s="3" t="s">
        <v>74</v>
      </c>
      <c r="D23" s="3" t="s">
        <v>75</v>
      </c>
      <c r="E23" s="3" t="s">
        <v>6</v>
      </c>
      <c r="G23" s="4"/>
      <c r="H23" s="4"/>
      <c r="I23" s="5"/>
      <c r="J23" s="4"/>
      <c r="K23" s="6">
        <v>0.0</v>
      </c>
      <c r="L23" s="5"/>
    </row>
    <row r="24" ht="15.75" customHeight="1">
      <c r="B24" s="4" t="s">
        <v>76</v>
      </c>
      <c r="C24" s="4" t="s">
        <v>13</v>
      </c>
      <c r="D24" s="5" t="s">
        <v>77</v>
      </c>
      <c r="E24" s="6">
        <v>1000000.0</v>
      </c>
      <c r="G24" s="11" t="s">
        <v>78</v>
      </c>
      <c r="H24" s="8"/>
      <c r="I24" s="8"/>
      <c r="J24" s="9"/>
      <c r="K24" s="13">
        <f>SUM(K6:K23)</f>
        <v>420000</v>
      </c>
    </row>
    <row r="25" ht="15.75" customHeight="1">
      <c r="B25" s="4" t="s">
        <v>79</v>
      </c>
      <c r="C25" s="4" t="s">
        <v>13</v>
      </c>
      <c r="D25" s="5" t="s">
        <v>80</v>
      </c>
      <c r="E25" s="6">
        <v>500000.0</v>
      </c>
    </row>
    <row r="26" ht="15.75" customHeight="1">
      <c r="B26" s="4" t="s">
        <v>81</v>
      </c>
      <c r="C26" s="4" t="s">
        <v>13</v>
      </c>
      <c r="D26" s="5" t="s">
        <v>82</v>
      </c>
      <c r="E26" s="6">
        <v>500000.0</v>
      </c>
      <c r="G26" s="14" t="s">
        <v>83</v>
      </c>
      <c r="H26" s="14" t="s">
        <v>6</v>
      </c>
    </row>
    <row r="27" ht="15.75" customHeight="1">
      <c r="B27" s="4" t="s">
        <v>84</v>
      </c>
      <c r="C27" s="4" t="s">
        <v>13</v>
      </c>
      <c r="D27" s="5" t="s">
        <v>85</v>
      </c>
      <c r="E27" s="6">
        <v>200000.0</v>
      </c>
      <c r="G27" s="12" t="s">
        <v>86</v>
      </c>
      <c r="H27" s="15">
        <f>C31</f>
        <v>4000000</v>
      </c>
    </row>
    <row r="28" ht="15.75" customHeight="1">
      <c r="B28" s="16" t="s">
        <v>87</v>
      </c>
      <c r="C28" s="8"/>
      <c r="D28" s="9"/>
      <c r="E28" s="17">
        <f>SUM(E24:E27)</f>
        <v>2200000</v>
      </c>
      <c r="G28" s="12" t="s">
        <v>88</v>
      </c>
      <c r="H28" s="15">
        <f t="shared" ref="H28:H29" si="1">C34</f>
        <v>1620000</v>
      </c>
    </row>
    <row r="29" ht="15.75" customHeight="1">
      <c r="G29" s="12" t="s">
        <v>89</v>
      </c>
      <c r="H29" s="15">
        <f t="shared" si="1"/>
        <v>2200000</v>
      </c>
    </row>
    <row r="30" ht="15.75" customHeight="1">
      <c r="B30" s="2" t="s">
        <v>157</v>
      </c>
    </row>
    <row r="31" ht="15.75" customHeight="1">
      <c r="B31" s="18" t="s">
        <v>91</v>
      </c>
      <c r="C31" s="15">
        <f>E10</f>
        <v>4000000</v>
      </c>
    </row>
    <row r="32" ht="15.75" customHeight="1">
      <c r="B32" s="18" t="s">
        <v>92</v>
      </c>
      <c r="C32" s="15">
        <f>E20</f>
        <v>1200000</v>
      </c>
    </row>
    <row r="33" ht="15.75" customHeight="1">
      <c r="B33" s="18" t="s">
        <v>94</v>
      </c>
      <c r="C33" s="15">
        <f>K24</f>
        <v>420000</v>
      </c>
    </row>
    <row r="34" ht="15.75" customHeight="1">
      <c r="B34" s="18" t="s">
        <v>95</v>
      </c>
      <c r="C34" s="15">
        <f>C32+C33</f>
        <v>1620000</v>
      </c>
    </row>
    <row r="35" ht="15.75" customHeight="1">
      <c r="B35" s="18" t="s">
        <v>96</v>
      </c>
      <c r="C35" s="15">
        <f>E28</f>
        <v>2200000</v>
      </c>
    </row>
    <row r="36" ht="15.75" customHeight="1">
      <c r="B36" s="18" t="s">
        <v>97</v>
      </c>
      <c r="C36" s="15">
        <f>C31-C34-C35</f>
        <v>180000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0:D10"/>
    <mergeCell ref="B20:D20"/>
    <mergeCell ref="G24:J24"/>
    <mergeCell ref="B28:D28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0.0"/>
    <col customWidth="1" min="4" max="4" width="18.0"/>
    <col customWidth="1" min="5" max="5" width="14.0"/>
    <col customWidth="1" min="6" max="6" width="3.0"/>
    <col customWidth="1" min="7" max="8" width="12.0"/>
    <col customWidth="1" min="9" max="9" width="18.0"/>
    <col customWidth="1" min="10" max="10" width="12.0"/>
    <col customWidth="1" min="11" max="12" width="14.0"/>
    <col customWidth="1" min="13" max="26" width="8.71"/>
  </cols>
  <sheetData>
    <row r="2">
      <c r="B2" s="1" t="s">
        <v>158</v>
      </c>
    </row>
    <row r="4">
      <c r="B4" s="2" t="s">
        <v>1</v>
      </c>
      <c r="G4" s="2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6</v>
      </c>
      <c r="L5" s="3" t="s">
        <v>11</v>
      </c>
    </row>
    <row r="6">
      <c r="B6" s="4" t="s">
        <v>12</v>
      </c>
      <c r="C6" s="4" t="s">
        <v>13</v>
      </c>
      <c r="D6" s="5" t="s">
        <v>14</v>
      </c>
      <c r="E6" s="6">
        <v>4000000.0</v>
      </c>
      <c r="G6" s="4" t="s">
        <v>159</v>
      </c>
      <c r="H6" s="4" t="s">
        <v>16</v>
      </c>
      <c r="I6" s="5" t="s">
        <v>17</v>
      </c>
      <c r="J6" s="4" t="s">
        <v>18</v>
      </c>
      <c r="K6" s="6">
        <v>150000.0</v>
      </c>
      <c r="L6" s="5"/>
    </row>
    <row r="7">
      <c r="B7" s="4" t="s">
        <v>19</v>
      </c>
      <c r="C7" s="4" t="s">
        <v>20</v>
      </c>
      <c r="D7" s="5" t="s">
        <v>21</v>
      </c>
      <c r="E7" s="6">
        <v>0.0</v>
      </c>
      <c r="G7" s="4" t="s">
        <v>160</v>
      </c>
      <c r="H7" s="4" t="s">
        <v>23</v>
      </c>
      <c r="I7" s="5" t="s">
        <v>24</v>
      </c>
      <c r="J7" s="4" t="s">
        <v>18</v>
      </c>
      <c r="K7" s="6">
        <v>80000.0</v>
      </c>
      <c r="L7" s="5"/>
    </row>
    <row r="8">
      <c r="B8" s="4" t="s">
        <v>25</v>
      </c>
      <c r="C8" s="4" t="s">
        <v>20</v>
      </c>
      <c r="D8" s="5" t="s">
        <v>26</v>
      </c>
      <c r="E8" s="6">
        <v>0.0</v>
      </c>
      <c r="G8" s="4" t="s">
        <v>161</v>
      </c>
      <c r="H8" s="4" t="s">
        <v>28</v>
      </c>
      <c r="I8" s="5" t="s">
        <v>29</v>
      </c>
      <c r="J8" s="4" t="s">
        <v>30</v>
      </c>
      <c r="K8" s="6">
        <v>70000.0</v>
      </c>
      <c r="L8" s="5"/>
    </row>
    <row r="9">
      <c r="B9" s="4" t="s">
        <v>31</v>
      </c>
      <c r="C9" s="4" t="s">
        <v>20</v>
      </c>
      <c r="D9" s="5" t="s">
        <v>32</v>
      </c>
      <c r="E9" s="6">
        <v>0.0</v>
      </c>
      <c r="G9" s="4" t="s">
        <v>162</v>
      </c>
      <c r="H9" s="4" t="s">
        <v>34</v>
      </c>
      <c r="I9" s="5" t="s">
        <v>35</v>
      </c>
      <c r="J9" s="4" t="s">
        <v>18</v>
      </c>
      <c r="K9" s="6">
        <v>50000.0</v>
      </c>
      <c r="L9" s="5"/>
    </row>
    <row r="10">
      <c r="B10" s="7" t="s">
        <v>36</v>
      </c>
      <c r="C10" s="8"/>
      <c r="D10" s="9"/>
      <c r="E10" s="10">
        <f>SUM(E6:E9)</f>
        <v>4000000</v>
      </c>
      <c r="G10" s="4" t="s">
        <v>163</v>
      </c>
      <c r="H10" s="4" t="s">
        <v>38</v>
      </c>
      <c r="I10" s="5" t="s">
        <v>39</v>
      </c>
      <c r="J10" s="4" t="s">
        <v>18</v>
      </c>
      <c r="K10" s="6">
        <v>40000.0</v>
      </c>
      <c r="L10" s="5"/>
    </row>
    <row r="11">
      <c r="G11" s="4" t="s">
        <v>164</v>
      </c>
      <c r="H11" s="4" t="s">
        <v>41</v>
      </c>
      <c r="I11" s="5" t="s">
        <v>42</v>
      </c>
      <c r="J11" s="4" t="s">
        <v>30</v>
      </c>
      <c r="K11" s="6">
        <v>30000.0</v>
      </c>
      <c r="L11" s="5"/>
    </row>
    <row r="12">
      <c r="B12" s="2" t="s">
        <v>43</v>
      </c>
      <c r="G12" s="4"/>
      <c r="H12" s="4"/>
      <c r="I12" s="5"/>
      <c r="J12" s="4"/>
      <c r="K12" s="6">
        <v>0.0</v>
      </c>
      <c r="L12" s="5"/>
    </row>
    <row r="13">
      <c r="B13" s="3" t="s">
        <v>3</v>
      </c>
      <c r="C13" s="3" t="s">
        <v>44</v>
      </c>
      <c r="D13" s="3" t="s">
        <v>45</v>
      </c>
      <c r="E13" s="3" t="s">
        <v>6</v>
      </c>
      <c r="G13" s="4"/>
      <c r="H13" s="4"/>
      <c r="I13" s="5"/>
      <c r="J13" s="4"/>
      <c r="K13" s="6">
        <v>0.0</v>
      </c>
      <c r="L13" s="5"/>
    </row>
    <row r="14">
      <c r="B14" s="4" t="s">
        <v>46</v>
      </c>
      <c r="C14" s="4" t="s">
        <v>47</v>
      </c>
      <c r="D14" s="5" t="s">
        <v>48</v>
      </c>
      <c r="E14" s="6">
        <v>300000.0</v>
      </c>
      <c r="G14" s="4"/>
      <c r="H14" s="4"/>
      <c r="I14" s="5"/>
      <c r="J14" s="4"/>
      <c r="K14" s="6">
        <v>0.0</v>
      </c>
      <c r="L14" s="5"/>
    </row>
    <row r="15">
      <c r="B15" s="4" t="s">
        <v>49</v>
      </c>
      <c r="C15" s="4" t="s">
        <v>50</v>
      </c>
      <c r="D15" s="5" t="s">
        <v>51</v>
      </c>
      <c r="E15" s="6">
        <v>120000.0</v>
      </c>
      <c r="G15" s="4"/>
      <c r="H15" s="4"/>
      <c r="I15" s="5"/>
      <c r="J15" s="4"/>
      <c r="K15" s="6">
        <v>0.0</v>
      </c>
      <c r="L15" s="5"/>
    </row>
    <row r="16">
      <c r="B16" s="4" t="s">
        <v>52</v>
      </c>
      <c r="C16" s="4" t="s">
        <v>53</v>
      </c>
      <c r="D16" s="5" t="s">
        <v>54</v>
      </c>
      <c r="E16" s="6">
        <v>250000.0</v>
      </c>
      <c r="G16" s="4"/>
      <c r="H16" s="4"/>
      <c r="I16" s="5"/>
      <c r="J16" s="4"/>
      <c r="K16" s="6">
        <v>0.0</v>
      </c>
      <c r="L16" s="5"/>
    </row>
    <row r="17">
      <c r="B17" s="4" t="s">
        <v>55</v>
      </c>
      <c r="C17" s="4" t="s">
        <v>13</v>
      </c>
      <c r="D17" s="5" t="s">
        <v>56</v>
      </c>
      <c r="E17" s="6">
        <v>500000.0</v>
      </c>
      <c r="G17" s="4"/>
      <c r="H17" s="4"/>
      <c r="I17" s="5"/>
      <c r="J17" s="4"/>
      <c r="K17" s="6">
        <v>0.0</v>
      </c>
      <c r="L17" s="5"/>
    </row>
    <row r="18">
      <c r="B18" s="4" t="s">
        <v>57</v>
      </c>
      <c r="C18" s="4" t="s">
        <v>58</v>
      </c>
      <c r="D18" s="5" t="s">
        <v>59</v>
      </c>
      <c r="E18" s="6">
        <v>30000.0</v>
      </c>
      <c r="G18" s="4"/>
      <c r="H18" s="4"/>
      <c r="I18" s="5"/>
      <c r="J18" s="4"/>
      <c r="K18" s="6">
        <v>0.0</v>
      </c>
      <c r="L18" s="5"/>
    </row>
    <row r="19">
      <c r="B19" s="4" t="s">
        <v>61</v>
      </c>
      <c r="C19" s="4" t="s">
        <v>20</v>
      </c>
      <c r="D19" s="5" t="s">
        <v>62</v>
      </c>
      <c r="E19" s="6">
        <v>0.0</v>
      </c>
      <c r="G19" s="4"/>
      <c r="H19" s="4"/>
      <c r="I19" s="5"/>
      <c r="J19" s="4"/>
      <c r="K19" s="6">
        <v>0.0</v>
      </c>
      <c r="L19" s="5"/>
    </row>
    <row r="20">
      <c r="B20" s="11" t="s">
        <v>63</v>
      </c>
      <c r="C20" s="8"/>
      <c r="D20" s="9"/>
      <c r="E20" s="13">
        <f>SUM(E14:E19)</f>
        <v>1200000</v>
      </c>
      <c r="G20" s="4"/>
      <c r="H20" s="4"/>
      <c r="I20" s="5"/>
      <c r="J20" s="4"/>
      <c r="K20" s="6">
        <v>0.0</v>
      </c>
      <c r="L20" s="5"/>
    </row>
    <row r="21" ht="15.75" customHeight="1">
      <c r="G21" s="4"/>
      <c r="H21" s="4"/>
      <c r="I21" s="5"/>
      <c r="J21" s="4"/>
      <c r="K21" s="6">
        <v>0.0</v>
      </c>
      <c r="L21" s="5"/>
    </row>
    <row r="22" ht="15.75" customHeight="1">
      <c r="B22" s="2" t="s">
        <v>73</v>
      </c>
      <c r="G22" s="4"/>
      <c r="H22" s="4"/>
      <c r="I22" s="5"/>
      <c r="J22" s="4"/>
      <c r="K22" s="6">
        <v>0.0</v>
      </c>
      <c r="L22" s="5"/>
    </row>
    <row r="23" ht="15.75" customHeight="1">
      <c r="B23" s="3" t="s">
        <v>3</v>
      </c>
      <c r="C23" s="3" t="s">
        <v>74</v>
      </c>
      <c r="D23" s="3" t="s">
        <v>75</v>
      </c>
      <c r="E23" s="3" t="s">
        <v>6</v>
      </c>
      <c r="G23" s="4"/>
      <c r="H23" s="4"/>
      <c r="I23" s="5"/>
      <c r="J23" s="4"/>
      <c r="K23" s="6">
        <v>0.0</v>
      </c>
      <c r="L23" s="5"/>
    </row>
    <row r="24" ht="15.75" customHeight="1">
      <c r="B24" s="4" t="s">
        <v>76</v>
      </c>
      <c r="C24" s="4" t="s">
        <v>13</v>
      </c>
      <c r="D24" s="5" t="s">
        <v>77</v>
      </c>
      <c r="E24" s="6">
        <v>1000000.0</v>
      </c>
      <c r="G24" s="11" t="s">
        <v>78</v>
      </c>
      <c r="H24" s="8"/>
      <c r="I24" s="8"/>
      <c r="J24" s="9"/>
      <c r="K24" s="13">
        <f>SUM(K6:K23)</f>
        <v>420000</v>
      </c>
    </row>
    <row r="25" ht="15.75" customHeight="1">
      <c r="B25" s="4" t="s">
        <v>79</v>
      </c>
      <c r="C25" s="4" t="s">
        <v>13</v>
      </c>
      <c r="D25" s="5" t="s">
        <v>80</v>
      </c>
      <c r="E25" s="6">
        <v>500000.0</v>
      </c>
    </row>
    <row r="26" ht="15.75" customHeight="1">
      <c r="B26" s="4" t="s">
        <v>81</v>
      </c>
      <c r="C26" s="4" t="s">
        <v>13</v>
      </c>
      <c r="D26" s="5" t="s">
        <v>82</v>
      </c>
      <c r="E26" s="6">
        <v>500000.0</v>
      </c>
      <c r="G26" s="14" t="s">
        <v>83</v>
      </c>
      <c r="H26" s="14" t="s">
        <v>6</v>
      </c>
    </row>
    <row r="27" ht="15.75" customHeight="1">
      <c r="B27" s="4" t="s">
        <v>84</v>
      </c>
      <c r="C27" s="4" t="s">
        <v>13</v>
      </c>
      <c r="D27" s="5" t="s">
        <v>85</v>
      </c>
      <c r="E27" s="6">
        <v>200000.0</v>
      </c>
      <c r="G27" s="12" t="s">
        <v>86</v>
      </c>
      <c r="H27" s="15">
        <f>C31</f>
        <v>4000000</v>
      </c>
    </row>
    <row r="28" ht="15.75" customHeight="1">
      <c r="B28" s="16" t="s">
        <v>87</v>
      </c>
      <c r="C28" s="8"/>
      <c r="D28" s="9"/>
      <c r="E28" s="17">
        <f>SUM(E24:E27)</f>
        <v>2200000</v>
      </c>
      <c r="G28" s="12" t="s">
        <v>88</v>
      </c>
      <c r="H28" s="15">
        <f t="shared" ref="H28:H29" si="1">C34</f>
        <v>1620000</v>
      </c>
    </row>
    <row r="29" ht="15.75" customHeight="1">
      <c r="G29" s="12" t="s">
        <v>89</v>
      </c>
      <c r="H29" s="15">
        <f t="shared" si="1"/>
        <v>2200000</v>
      </c>
    </row>
    <row r="30" ht="15.75" customHeight="1">
      <c r="B30" s="2" t="s">
        <v>165</v>
      </c>
    </row>
    <row r="31" ht="15.75" customHeight="1">
      <c r="B31" s="18" t="s">
        <v>91</v>
      </c>
      <c r="C31" s="15">
        <f>E10</f>
        <v>4000000</v>
      </c>
    </row>
    <row r="32" ht="15.75" customHeight="1">
      <c r="B32" s="18" t="s">
        <v>92</v>
      </c>
      <c r="C32" s="15">
        <f>E20</f>
        <v>1200000</v>
      </c>
    </row>
    <row r="33" ht="15.75" customHeight="1">
      <c r="B33" s="18" t="s">
        <v>94</v>
      </c>
      <c r="C33" s="15">
        <f>K24</f>
        <v>420000</v>
      </c>
    </row>
    <row r="34" ht="15.75" customHeight="1">
      <c r="B34" s="18" t="s">
        <v>95</v>
      </c>
      <c r="C34" s="15">
        <f>C32+C33</f>
        <v>1620000</v>
      </c>
    </row>
    <row r="35" ht="15.75" customHeight="1">
      <c r="B35" s="18" t="s">
        <v>96</v>
      </c>
      <c r="C35" s="15">
        <f>E28</f>
        <v>2200000</v>
      </c>
    </row>
    <row r="36" ht="15.75" customHeight="1">
      <c r="B36" s="18" t="s">
        <v>97</v>
      </c>
      <c r="C36" s="15">
        <f>C31-C34-C35</f>
        <v>180000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0:D10"/>
    <mergeCell ref="B20:D20"/>
    <mergeCell ref="G24:J24"/>
    <mergeCell ref="B28:D28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0.0"/>
    <col customWidth="1" min="4" max="4" width="18.0"/>
    <col customWidth="1" min="5" max="5" width="14.0"/>
    <col customWidth="1" min="6" max="6" width="3.0"/>
    <col customWidth="1" min="7" max="8" width="12.0"/>
    <col customWidth="1" min="9" max="9" width="18.0"/>
    <col customWidth="1" min="10" max="10" width="12.0"/>
    <col customWidth="1" min="11" max="12" width="14.0"/>
    <col customWidth="1" min="13" max="26" width="8.71"/>
  </cols>
  <sheetData>
    <row r="2">
      <c r="B2" s="1" t="s">
        <v>166</v>
      </c>
    </row>
    <row r="4">
      <c r="B4" s="2" t="s">
        <v>1</v>
      </c>
      <c r="G4" s="2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6</v>
      </c>
      <c r="L5" s="3" t="s">
        <v>11</v>
      </c>
    </row>
    <row r="6">
      <c r="B6" s="4" t="s">
        <v>12</v>
      </c>
      <c r="C6" s="4" t="s">
        <v>13</v>
      </c>
      <c r="D6" s="5" t="s">
        <v>14</v>
      </c>
      <c r="E6" s="6">
        <v>4000000.0</v>
      </c>
      <c r="G6" s="4" t="s">
        <v>167</v>
      </c>
      <c r="H6" s="4" t="s">
        <v>16</v>
      </c>
      <c r="I6" s="5" t="s">
        <v>17</v>
      </c>
      <c r="J6" s="4" t="s">
        <v>18</v>
      </c>
      <c r="K6" s="6">
        <v>150000.0</v>
      </c>
      <c r="L6" s="5"/>
    </row>
    <row r="7">
      <c r="B7" s="4" t="s">
        <v>19</v>
      </c>
      <c r="C7" s="4" t="s">
        <v>20</v>
      </c>
      <c r="D7" s="5" t="s">
        <v>21</v>
      </c>
      <c r="E7" s="6">
        <v>0.0</v>
      </c>
      <c r="G7" s="4" t="s">
        <v>168</v>
      </c>
      <c r="H7" s="4" t="s">
        <v>23</v>
      </c>
      <c r="I7" s="5" t="s">
        <v>24</v>
      </c>
      <c r="J7" s="4" t="s">
        <v>18</v>
      </c>
      <c r="K7" s="6">
        <v>80000.0</v>
      </c>
      <c r="L7" s="5"/>
    </row>
    <row r="8">
      <c r="B8" s="4" t="s">
        <v>25</v>
      </c>
      <c r="C8" s="4" t="s">
        <v>20</v>
      </c>
      <c r="D8" s="5" t="s">
        <v>26</v>
      </c>
      <c r="E8" s="6">
        <v>0.0</v>
      </c>
      <c r="G8" s="4" t="s">
        <v>169</v>
      </c>
      <c r="H8" s="4" t="s">
        <v>28</v>
      </c>
      <c r="I8" s="5" t="s">
        <v>29</v>
      </c>
      <c r="J8" s="4" t="s">
        <v>30</v>
      </c>
      <c r="K8" s="6">
        <v>70000.0</v>
      </c>
      <c r="L8" s="5"/>
    </row>
    <row r="9">
      <c r="B9" s="4" t="s">
        <v>31</v>
      </c>
      <c r="C9" s="4" t="s">
        <v>20</v>
      </c>
      <c r="D9" s="5" t="s">
        <v>32</v>
      </c>
      <c r="E9" s="6">
        <v>0.0</v>
      </c>
      <c r="G9" s="4" t="s">
        <v>170</v>
      </c>
      <c r="H9" s="4" t="s">
        <v>34</v>
      </c>
      <c r="I9" s="5" t="s">
        <v>35</v>
      </c>
      <c r="J9" s="4" t="s">
        <v>18</v>
      </c>
      <c r="K9" s="6">
        <v>50000.0</v>
      </c>
      <c r="L9" s="5"/>
    </row>
    <row r="10">
      <c r="B10" s="7" t="s">
        <v>36</v>
      </c>
      <c r="C10" s="8"/>
      <c r="D10" s="9"/>
      <c r="E10" s="10">
        <f>SUM(E6:E9)</f>
        <v>4000000</v>
      </c>
      <c r="G10" s="4" t="s">
        <v>171</v>
      </c>
      <c r="H10" s="4" t="s">
        <v>38</v>
      </c>
      <c r="I10" s="5" t="s">
        <v>39</v>
      </c>
      <c r="J10" s="4" t="s">
        <v>18</v>
      </c>
      <c r="K10" s="6">
        <v>40000.0</v>
      </c>
      <c r="L10" s="5"/>
    </row>
    <row r="11">
      <c r="G11" s="4" t="s">
        <v>172</v>
      </c>
      <c r="H11" s="4" t="s">
        <v>41</v>
      </c>
      <c r="I11" s="5" t="s">
        <v>42</v>
      </c>
      <c r="J11" s="4" t="s">
        <v>30</v>
      </c>
      <c r="K11" s="6">
        <v>30000.0</v>
      </c>
      <c r="L11" s="5"/>
    </row>
    <row r="12">
      <c r="B12" s="2" t="s">
        <v>43</v>
      </c>
      <c r="G12" s="4"/>
      <c r="H12" s="4"/>
      <c r="I12" s="5"/>
      <c r="J12" s="4"/>
      <c r="K12" s="6">
        <v>0.0</v>
      </c>
      <c r="L12" s="5"/>
    </row>
    <row r="13">
      <c r="B13" s="3" t="s">
        <v>3</v>
      </c>
      <c r="C13" s="3" t="s">
        <v>44</v>
      </c>
      <c r="D13" s="3" t="s">
        <v>45</v>
      </c>
      <c r="E13" s="3" t="s">
        <v>6</v>
      </c>
      <c r="G13" s="4"/>
      <c r="H13" s="4"/>
      <c r="I13" s="5"/>
      <c r="J13" s="4"/>
      <c r="K13" s="6">
        <v>0.0</v>
      </c>
      <c r="L13" s="5"/>
    </row>
    <row r="14">
      <c r="B14" s="4" t="s">
        <v>46</v>
      </c>
      <c r="C14" s="4" t="s">
        <v>47</v>
      </c>
      <c r="D14" s="5" t="s">
        <v>48</v>
      </c>
      <c r="E14" s="6">
        <v>300000.0</v>
      </c>
      <c r="G14" s="4"/>
      <c r="H14" s="4"/>
      <c r="I14" s="5"/>
      <c r="J14" s="4"/>
      <c r="K14" s="6">
        <v>0.0</v>
      </c>
      <c r="L14" s="5"/>
    </row>
    <row r="15">
      <c r="B15" s="4" t="s">
        <v>49</v>
      </c>
      <c r="C15" s="4" t="s">
        <v>50</v>
      </c>
      <c r="D15" s="5" t="s">
        <v>51</v>
      </c>
      <c r="E15" s="6">
        <v>120000.0</v>
      </c>
      <c r="G15" s="4"/>
      <c r="H15" s="4"/>
      <c r="I15" s="5"/>
      <c r="J15" s="4"/>
      <c r="K15" s="6">
        <v>0.0</v>
      </c>
      <c r="L15" s="5"/>
    </row>
    <row r="16">
      <c r="B16" s="4" t="s">
        <v>52</v>
      </c>
      <c r="C16" s="4" t="s">
        <v>53</v>
      </c>
      <c r="D16" s="5" t="s">
        <v>54</v>
      </c>
      <c r="E16" s="6">
        <v>250000.0</v>
      </c>
      <c r="G16" s="4"/>
      <c r="H16" s="4"/>
      <c r="I16" s="5"/>
      <c r="J16" s="4"/>
      <c r="K16" s="6">
        <v>0.0</v>
      </c>
      <c r="L16" s="5"/>
    </row>
    <row r="17">
      <c r="B17" s="4" t="s">
        <v>55</v>
      </c>
      <c r="C17" s="4" t="s">
        <v>13</v>
      </c>
      <c r="D17" s="5" t="s">
        <v>56</v>
      </c>
      <c r="E17" s="6">
        <v>500000.0</v>
      </c>
      <c r="G17" s="4"/>
      <c r="H17" s="4"/>
      <c r="I17" s="5"/>
      <c r="J17" s="4"/>
      <c r="K17" s="6">
        <v>0.0</v>
      </c>
      <c r="L17" s="5"/>
    </row>
    <row r="18">
      <c r="B18" s="4" t="s">
        <v>57</v>
      </c>
      <c r="C18" s="4" t="s">
        <v>58</v>
      </c>
      <c r="D18" s="5" t="s">
        <v>59</v>
      </c>
      <c r="E18" s="6">
        <v>30000.0</v>
      </c>
      <c r="G18" s="4"/>
      <c r="H18" s="4"/>
      <c r="I18" s="5"/>
      <c r="J18" s="4"/>
      <c r="K18" s="6">
        <v>0.0</v>
      </c>
      <c r="L18" s="5"/>
    </row>
    <row r="19">
      <c r="B19" s="4" t="s">
        <v>61</v>
      </c>
      <c r="C19" s="4" t="s">
        <v>20</v>
      </c>
      <c r="D19" s="5" t="s">
        <v>62</v>
      </c>
      <c r="E19" s="6">
        <v>0.0</v>
      </c>
      <c r="G19" s="4"/>
      <c r="H19" s="4"/>
      <c r="I19" s="5"/>
      <c r="J19" s="4"/>
      <c r="K19" s="6">
        <v>0.0</v>
      </c>
      <c r="L19" s="5"/>
    </row>
    <row r="20">
      <c r="B20" s="11" t="s">
        <v>63</v>
      </c>
      <c r="C20" s="8"/>
      <c r="D20" s="9"/>
      <c r="E20" s="13">
        <f>SUM(E14:E19)</f>
        <v>1200000</v>
      </c>
      <c r="G20" s="4"/>
      <c r="H20" s="4"/>
      <c r="I20" s="5"/>
      <c r="J20" s="4"/>
      <c r="K20" s="6">
        <v>0.0</v>
      </c>
      <c r="L20" s="5"/>
    </row>
    <row r="21" ht="15.75" customHeight="1">
      <c r="G21" s="4"/>
      <c r="H21" s="4"/>
      <c r="I21" s="5"/>
      <c r="J21" s="4"/>
      <c r="K21" s="6">
        <v>0.0</v>
      </c>
      <c r="L21" s="5"/>
    </row>
    <row r="22" ht="15.75" customHeight="1">
      <c r="B22" s="2" t="s">
        <v>73</v>
      </c>
      <c r="G22" s="4"/>
      <c r="H22" s="4"/>
      <c r="I22" s="5"/>
      <c r="J22" s="4"/>
      <c r="K22" s="6">
        <v>0.0</v>
      </c>
      <c r="L22" s="5"/>
    </row>
    <row r="23" ht="15.75" customHeight="1">
      <c r="B23" s="3" t="s">
        <v>3</v>
      </c>
      <c r="C23" s="3" t="s">
        <v>74</v>
      </c>
      <c r="D23" s="3" t="s">
        <v>75</v>
      </c>
      <c r="E23" s="3" t="s">
        <v>6</v>
      </c>
      <c r="G23" s="4"/>
      <c r="H23" s="4"/>
      <c r="I23" s="5"/>
      <c r="J23" s="4"/>
      <c r="K23" s="6">
        <v>0.0</v>
      </c>
      <c r="L23" s="5"/>
    </row>
    <row r="24" ht="15.75" customHeight="1">
      <c r="B24" s="4" t="s">
        <v>76</v>
      </c>
      <c r="C24" s="4" t="s">
        <v>13</v>
      </c>
      <c r="D24" s="5" t="s">
        <v>77</v>
      </c>
      <c r="E24" s="6">
        <v>1000000.0</v>
      </c>
      <c r="G24" s="11" t="s">
        <v>78</v>
      </c>
      <c r="H24" s="8"/>
      <c r="I24" s="8"/>
      <c r="J24" s="9"/>
      <c r="K24" s="13">
        <f>SUM(K6:K23)</f>
        <v>420000</v>
      </c>
    </row>
    <row r="25" ht="15.75" customHeight="1">
      <c r="B25" s="4" t="s">
        <v>79</v>
      </c>
      <c r="C25" s="4" t="s">
        <v>13</v>
      </c>
      <c r="D25" s="5" t="s">
        <v>80</v>
      </c>
      <c r="E25" s="6">
        <v>500000.0</v>
      </c>
    </row>
    <row r="26" ht="15.75" customHeight="1">
      <c r="B26" s="4" t="s">
        <v>81</v>
      </c>
      <c r="C26" s="4" t="s">
        <v>13</v>
      </c>
      <c r="D26" s="5" t="s">
        <v>82</v>
      </c>
      <c r="E26" s="6">
        <v>500000.0</v>
      </c>
      <c r="G26" s="14" t="s">
        <v>83</v>
      </c>
      <c r="H26" s="14" t="s">
        <v>6</v>
      </c>
    </row>
    <row r="27" ht="15.75" customHeight="1">
      <c r="B27" s="4" t="s">
        <v>84</v>
      </c>
      <c r="C27" s="4" t="s">
        <v>13</v>
      </c>
      <c r="D27" s="5" t="s">
        <v>85</v>
      </c>
      <c r="E27" s="6">
        <v>200000.0</v>
      </c>
      <c r="G27" s="12" t="s">
        <v>86</v>
      </c>
      <c r="H27" s="15">
        <f>C31</f>
        <v>4000000</v>
      </c>
    </row>
    <row r="28" ht="15.75" customHeight="1">
      <c r="B28" s="16" t="s">
        <v>87</v>
      </c>
      <c r="C28" s="8"/>
      <c r="D28" s="9"/>
      <c r="E28" s="17">
        <f>SUM(E24:E27)</f>
        <v>2200000</v>
      </c>
      <c r="G28" s="12" t="s">
        <v>88</v>
      </c>
      <c r="H28" s="15">
        <f t="shared" ref="H28:H29" si="1">C34</f>
        <v>1620000</v>
      </c>
    </row>
    <row r="29" ht="15.75" customHeight="1">
      <c r="G29" s="12" t="s">
        <v>89</v>
      </c>
      <c r="H29" s="15">
        <f t="shared" si="1"/>
        <v>2200000</v>
      </c>
    </row>
    <row r="30" ht="15.75" customHeight="1">
      <c r="B30" s="2" t="s">
        <v>180</v>
      </c>
    </row>
    <row r="31" ht="15.75" customHeight="1">
      <c r="B31" s="18" t="s">
        <v>91</v>
      </c>
      <c r="C31" s="15">
        <f>E10</f>
        <v>4000000</v>
      </c>
    </row>
    <row r="32" ht="15.75" customHeight="1">
      <c r="B32" s="18" t="s">
        <v>92</v>
      </c>
      <c r="C32" s="15">
        <f>E20</f>
        <v>1200000</v>
      </c>
    </row>
    <row r="33" ht="15.75" customHeight="1">
      <c r="B33" s="18" t="s">
        <v>94</v>
      </c>
      <c r="C33" s="15">
        <f>K24</f>
        <v>420000</v>
      </c>
    </row>
    <row r="34" ht="15.75" customHeight="1">
      <c r="B34" s="18" t="s">
        <v>95</v>
      </c>
      <c r="C34" s="15">
        <f>C32+C33</f>
        <v>1620000</v>
      </c>
    </row>
    <row r="35" ht="15.75" customHeight="1">
      <c r="B35" s="18" t="s">
        <v>96</v>
      </c>
      <c r="C35" s="15">
        <f>E28</f>
        <v>2200000</v>
      </c>
    </row>
    <row r="36" ht="15.75" customHeight="1">
      <c r="B36" s="18" t="s">
        <v>97</v>
      </c>
      <c r="C36" s="15">
        <f>C31-C34-C35</f>
        <v>180000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0:D10"/>
    <mergeCell ref="B20:D20"/>
    <mergeCell ref="G24:J24"/>
    <mergeCell ref="B28:D28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0.0"/>
    <col customWidth="1" min="4" max="4" width="18.0"/>
    <col customWidth="1" min="5" max="5" width="14.0"/>
    <col customWidth="1" min="6" max="6" width="3.0"/>
    <col customWidth="1" min="7" max="8" width="12.0"/>
    <col customWidth="1" min="9" max="9" width="18.0"/>
    <col customWidth="1" min="10" max="10" width="12.0"/>
    <col customWidth="1" min="11" max="12" width="14.0"/>
    <col customWidth="1" min="13" max="26" width="8.71"/>
  </cols>
  <sheetData>
    <row r="2">
      <c r="B2" s="1" t="s">
        <v>173</v>
      </c>
    </row>
    <row r="4">
      <c r="B4" s="2" t="s">
        <v>1</v>
      </c>
      <c r="G4" s="2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6</v>
      </c>
      <c r="L5" s="3" t="s">
        <v>11</v>
      </c>
    </row>
    <row r="6">
      <c r="B6" s="4" t="s">
        <v>12</v>
      </c>
      <c r="C6" s="4" t="s">
        <v>13</v>
      </c>
      <c r="D6" s="5" t="s">
        <v>14</v>
      </c>
      <c r="E6" s="6">
        <v>4000000.0</v>
      </c>
      <c r="G6" s="4" t="s">
        <v>174</v>
      </c>
      <c r="H6" s="4" t="s">
        <v>16</v>
      </c>
      <c r="I6" s="5" t="s">
        <v>17</v>
      </c>
      <c r="J6" s="4" t="s">
        <v>18</v>
      </c>
      <c r="K6" s="6">
        <v>150000.0</v>
      </c>
      <c r="L6" s="5"/>
    </row>
    <row r="7">
      <c r="B7" s="4" t="s">
        <v>19</v>
      </c>
      <c r="C7" s="4" t="s">
        <v>20</v>
      </c>
      <c r="D7" s="5" t="s">
        <v>21</v>
      </c>
      <c r="E7" s="6">
        <v>0.0</v>
      </c>
      <c r="G7" s="4" t="s">
        <v>175</v>
      </c>
      <c r="H7" s="4" t="s">
        <v>23</v>
      </c>
      <c r="I7" s="5" t="s">
        <v>24</v>
      </c>
      <c r="J7" s="4" t="s">
        <v>18</v>
      </c>
      <c r="K7" s="6">
        <v>80000.0</v>
      </c>
      <c r="L7" s="5"/>
    </row>
    <row r="8">
      <c r="B8" s="4" t="s">
        <v>25</v>
      </c>
      <c r="C8" s="4" t="s">
        <v>20</v>
      </c>
      <c r="D8" s="5" t="s">
        <v>26</v>
      </c>
      <c r="E8" s="6">
        <v>0.0</v>
      </c>
      <c r="G8" s="4" t="s">
        <v>176</v>
      </c>
      <c r="H8" s="4" t="s">
        <v>28</v>
      </c>
      <c r="I8" s="5" t="s">
        <v>29</v>
      </c>
      <c r="J8" s="4" t="s">
        <v>30</v>
      </c>
      <c r="K8" s="6">
        <v>70000.0</v>
      </c>
      <c r="L8" s="5"/>
    </row>
    <row r="9">
      <c r="B9" s="4" t="s">
        <v>31</v>
      </c>
      <c r="C9" s="4" t="s">
        <v>20</v>
      </c>
      <c r="D9" s="5" t="s">
        <v>32</v>
      </c>
      <c r="E9" s="6">
        <v>0.0</v>
      </c>
      <c r="G9" s="4" t="s">
        <v>177</v>
      </c>
      <c r="H9" s="4" t="s">
        <v>34</v>
      </c>
      <c r="I9" s="5" t="s">
        <v>35</v>
      </c>
      <c r="J9" s="4" t="s">
        <v>18</v>
      </c>
      <c r="K9" s="6">
        <v>50000.0</v>
      </c>
      <c r="L9" s="5"/>
    </row>
    <row r="10">
      <c r="B10" s="7" t="s">
        <v>36</v>
      </c>
      <c r="C10" s="8"/>
      <c r="D10" s="9"/>
      <c r="E10" s="10">
        <f>SUM(E6:E9)</f>
        <v>4000000</v>
      </c>
      <c r="G10" s="4" t="s">
        <v>178</v>
      </c>
      <c r="H10" s="4" t="s">
        <v>38</v>
      </c>
      <c r="I10" s="5" t="s">
        <v>39</v>
      </c>
      <c r="J10" s="4" t="s">
        <v>18</v>
      </c>
      <c r="K10" s="6">
        <v>40000.0</v>
      </c>
      <c r="L10" s="5"/>
    </row>
    <row r="11">
      <c r="G11" s="4" t="s">
        <v>179</v>
      </c>
      <c r="H11" s="4" t="s">
        <v>41</v>
      </c>
      <c r="I11" s="5" t="s">
        <v>42</v>
      </c>
      <c r="J11" s="4" t="s">
        <v>30</v>
      </c>
      <c r="K11" s="6">
        <v>30000.0</v>
      </c>
      <c r="L11" s="5"/>
    </row>
    <row r="12">
      <c r="B12" s="2" t="s">
        <v>43</v>
      </c>
      <c r="G12" s="4"/>
      <c r="H12" s="4"/>
      <c r="I12" s="5"/>
      <c r="J12" s="4"/>
      <c r="K12" s="6">
        <v>0.0</v>
      </c>
      <c r="L12" s="5"/>
    </row>
    <row r="13">
      <c r="B13" s="3" t="s">
        <v>3</v>
      </c>
      <c r="C13" s="3" t="s">
        <v>44</v>
      </c>
      <c r="D13" s="3" t="s">
        <v>45</v>
      </c>
      <c r="E13" s="3" t="s">
        <v>6</v>
      </c>
      <c r="G13" s="4"/>
      <c r="H13" s="4"/>
      <c r="I13" s="5"/>
      <c r="J13" s="4"/>
      <c r="K13" s="6">
        <v>0.0</v>
      </c>
      <c r="L13" s="5"/>
    </row>
    <row r="14">
      <c r="B14" s="4" t="s">
        <v>46</v>
      </c>
      <c r="C14" s="4" t="s">
        <v>47</v>
      </c>
      <c r="D14" s="5" t="s">
        <v>48</v>
      </c>
      <c r="E14" s="6">
        <v>300000.0</v>
      </c>
      <c r="G14" s="4"/>
      <c r="H14" s="4"/>
      <c r="I14" s="5"/>
      <c r="J14" s="4"/>
      <c r="K14" s="6">
        <v>0.0</v>
      </c>
      <c r="L14" s="5"/>
    </row>
    <row r="15">
      <c r="B15" s="4" t="s">
        <v>49</v>
      </c>
      <c r="C15" s="4" t="s">
        <v>50</v>
      </c>
      <c r="D15" s="5" t="s">
        <v>51</v>
      </c>
      <c r="E15" s="6">
        <v>120000.0</v>
      </c>
      <c r="G15" s="4"/>
      <c r="H15" s="4"/>
      <c r="I15" s="5"/>
      <c r="J15" s="4"/>
      <c r="K15" s="6">
        <v>0.0</v>
      </c>
      <c r="L15" s="5"/>
    </row>
    <row r="16">
      <c r="B16" s="4" t="s">
        <v>52</v>
      </c>
      <c r="C16" s="4" t="s">
        <v>53</v>
      </c>
      <c r="D16" s="5" t="s">
        <v>54</v>
      </c>
      <c r="E16" s="6">
        <v>250000.0</v>
      </c>
      <c r="G16" s="4"/>
      <c r="H16" s="4"/>
      <c r="I16" s="5"/>
      <c r="J16" s="4"/>
      <c r="K16" s="6">
        <v>0.0</v>
      </c>
      <c r="L16" s="5"/>
    </row>
    <row r="17">
      <c r="B17" s="4" t="s">
        <v>55</v>
      </c>
      <c r="C17" s="4" t="s">
        <v>13</v>
      </c>
      <c r="D17" s="5" t="s">
        <v>56</v>
      </c>
      <c r="E17" s="6">
        <v>500000.0</v>
      </c>
      <c r="G17" s="4"/>
      <c r="H17" s="4"/>
      <c r="I17" s="5"/>
      <c r="J17" s="4"/>
      <c r="K17" s="6">
        <v>0.0</v>
      </c>
      <c r="L17" s="5"/>
    </row>
    <row r="18">
      <c r="B18" s="4" t="s">
        <v>57</v>
      </c>
      <c r="C18" s="4" t="s">
        <v>58</v>
      </c>
      <c r="D18" s="5" t="s">
        <v>59</v>
      </c>
      <c r="E18" s="6">
        <v>30000.0</v>
      </c>
      <c r="G18" s="4"/>
      <c r="H18" s="4"/>
      <c r="I18" s="5"/>
      <c r="J18" s="4"/>
      <c r="K18" s="6">
        <v>0.0</v>
      </c>
      <c r="L18" s="5"/>
    </row>
    <row r="19">
      <c r="B19" s="4" t="s">
        <v>61</v>
      </c>
      <c r="C19" s="4" t="s">
        <v>20</v>
      </c>
      <c r="D19" s="5" t="s">
        <v>62</v>
      </c>
      <c r="E19" s="6">
        <v>0.0</v>
      </c>
      <c r="G19" s="4"/>
      <c r="H19" s="4"/>
      <c r="I19" s="5"/>
      <c r="J19" s="4"/>
      <c r="K19" s="6">
        <v>0.0</v>
      </c>
      <c r="L19" s="5"/>
    </row>
    <row r="20">
      <c r="B20" s="11" t="s">
        <v>63</v>
      </c>
      <c r="C20" s="8"/>
      <c r="D20" s="9"/>
      <c r="E20" s="13">
        <f>SUM(E14:E19)</f>
        <v>1200000</v>
      </c>
      <c r="G20" s="4"/>
      <c r="H20" s="4"/>
      <c r="I20" s="5"/>
      <c r="J20" s="4"/>
      <c r="K20" s="6">
        <v>0.0</v>
      </c>
      <c r="L20" s="5"/>
    </row>
    <row r="21" ht="15.75" customHeight="1">
      <c r="G21" s="4"/>
      <c r="H21" s="4"/>
      <c r="I21" s="5"/>
      <c r="J21" s="4"/>
      <c r="K21" s="6">
        <v>0.0</v>
      </c>
      <c r="L21" s="5"/>
    </row>
    <row r="22" ht="15.75" customHeight="1">
      <c r="B22" s="2" t="s">
        <v>73</v>
      </c>
      <c r="G22" s="4"/>
      <c r="H22" s="4"/>
      <c r="I22" s="5"/>
      <c r="J22" s="4"/>
      <c r="K22" s="6">
        <v>0.0</v>
      </c>
      <c r="L22" s="5"/>
    </row>
    <row r="23" ht="15.75" customHeight="1">
      <c r="B23" s="3" t="s">
        <v>3</v>
      </c>
      <c r="C23" s="3" t="s">
        <v>74</v>
      </c>
      <c r="D23" s="3" t="s">
        <v>75</v>
      </c>
      <c r="E23" s="3" t="s">
        <v>6</v>
      </c>
      <c r="G23" s="4"/>
      <c r="H23" s="4"/>
      <c r="I23" s="5"/>
      <c r="J23" s="4"/>
      <c r="K23" s="6">
        <v>0.0</v>
      </c>
      <c r="L23" s="5"/>
    </row>
    <row r="24" ht="15.75" customHeight="1">
      <c r="B24" s="4" t="s">
        <v>76</v>
      </c>
      <c r="C24" s="4" t="s">
        <v>13</v>
      </c>
      <c r="D24" s="5" t="s">
        <v>77</v>
      </c>
      <c r="E24" s="6">
        <v>1000000.0</v>
      </c>
      <c r="G24" s="11" t="s">
        <v>78</v>
      </c>
      <c r="H24" s="8"/>
      <c r="I24" s="8"/>
      <c r="J24" s="9"/>
      <c r="K24" s="13">
        <f>SUM(K6:K23)</f>
        <v>420000</v>
      </c>
    </row>
    <row r="25" ht="15.75" customHeight="1">
      <c r="B25" s="4" t="s">
        <v>79</v>
      </c>
      <c r="C25" s="4" t="s">
        <v>13</v>
      </c>
      <c r="D25" s="5" t="s">
        <v>80</v>
      </c>
      <c r="E25" s="6">
        <v>500000.0</v>
      </c>
    </row>
    <row r="26" ht="15.75" customHeight="1">
      <c r="B26" s="4" t="s">
        <v>81</v>
      </c>
      <c r="C26" s="4" t="s">
        <v>13</v>
      </c>
      <c r="D26" s="5" t="s">
        <v>82</v>
      </c>
      <c r="E26" s="6">
        <v>500000.0</v>
      </c>
      <c r="G26" s="14" t="s">
        <v>83</v>
      </c>
      <c r="H26" s="14" t="s">
        <v>6</v>
      </c>
    </row>
    <row r="27" ht="15.75" customHeight="1">
      <c r="B27" s="4" t="s">
        <v>84</v>
      </c>
      <c r="C27" s="4" t="s">
        <v>13</v>
      </c>
      <c r="D27" s="5" t="s">
        <v>85</v>
      </c>
      <c r="E27" s="6">
        <v>200000.0</v>
      </c>
      <c r="G27" s="12" t="s">
        <v>86</v>
      </c>
      <c r="H27" s="15">
        <f>C31</f>
        <v>4000000</v>
      </c>
    </row>
    <row r="28" ht="15.75" customHeight="1">
      <c r="B28" s="16" t="s">
        <v>87</v>
      </c>
      <c r="C28" s="8"/>
      <c r="D28" s="9"/>
      <c r="E28" s="17">
        <f>SUM(E24:E27)</f>
        <v>2200000</v>
      </c>
      <c r="G28" s="12" t="s">
        <v>88</v>
      </c>
      <c r="H28" s="15">
        <f t="shared" ref="H28:H29" si="1">C34</f>
        <v>1620000</v>
      </c>
    </row>
    <row r="29" ht="15.75" customHeight="1">
      <c r="G29" s="12" t="s">
        <v>89</v>
      </c>
      <c r="H29" s="15">
        <f t="shared" si="1"/>
        <v>2200000</v>
      </c>
    </row>
    <row r="30" ht="15.75" customHeight="1">
      <c r="B30" s="2" t="s">
        <v>186</v>
      </c>
    </row>
    <row r="31" ht="15.75" customHeight="1">
      <c r="B31" s="18" t="s">
        <v>91</v>
      </c>
      <c r="C31" s="15">
        <f>E10</f>
        <v>4000000</v>
      </c>
    </row>
    <row r="32" ht="15.75" customHeight="1">
      <c r="B32" s="18" t="s">
        <v>92</v>
      </c>
      <c r="C32" s="15">
        <f>E20</f>
        <v>1200000</v>
      </c>
    </row>
    <row r="33" ht="15.75" customHeight="1">
      <c r="B33" s="18" t="s">
        <v>94</v>
      </c>
      <c r="C33" s="15">
        <f>K24</f>
        <v>420000</v>
      </c>
    </row>
    <row r="34" ht="15.75" customHeight="1">
      <c r="B34" s="18" t="s">
        <v>95</v>
      </c>
      <c r="C34" s="15">
        <f>C32+C33</f>
        <v>1620000</v>
      </c>
    </row>
    <row r="35" ht="15.75" customHeight="1">
      <c r="B35" s="18" t="s">
        <v>96</v>
      </c>
      <c r="C35" s="15">
        <f>E28</f>
        <v>2200000</v>
      </c>
    </row>
    <row r="36" ht="15.75" customHeight="1">
      <c r="B36" s="18" t="s">
        <v>97</v>
      </c>
      <c r="C36" s="15">
        <f>C31-C34-C35</f>
        <v>180000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0:D10"/>
    <mergeCell ref="B20:D20"/>
    <mergeCell ref="G24:J24"/>
    <mergeCell ref="B28:D28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0.0"/>
    <col customWidth="1" min="4" max="4" width="18.0"/>
    <col customWidth="1" min="5" max="5" width="14.0"/>
    <col customWidth="1" min="6" max="6" width="3.0"/>
    <col customWidth="1" min="7" max="8" width="12.0"/>
    <col customWidth="1" min="9" max="9" width="18.0"/>
    <col customWidth="1" min="10" max="10" width="12.0"/>
    <col customWidth="1" min="11" max="12" width="14.0"/>
    <col customWidth="1" min="13" max="26" width="8.71"/>
  </cols>
  <sheetData>
    <row r="2">
      <c r="B2" s="1" t="s">
        <v>181</v>
      </c>
    </row>
    <row r="4">
      <c r="B4" s="2" t="s">
        <v>1</v>
      </c>
      <c r="G4" s="2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6</v>
      </c>
      <c r="L5" s="3" t="s">
        <v>11</v>
      </c>
    </row>
    <row r="6">
      <c r="B6" s="4" t="s">
        <v>12</v>
      </c>
      <c r="C6" s="4" t="s">
        <v>13</v>
      </c>
      <c r="D6" s="5" t="s">
        <v>14</v>
      </c>
      <c r="E6" s="6">
        <v>4000000.0</v>
      </c>
      <c r="G6" s="4" t="s">
        <v>182</v>
      </c>
      <c r="H6" s="4" t="s">
        <v>16</v>
      </c>
      <c r="I6" s="5" t="s">
        <v>17</v>
      </c>
      <c r="J6" s="4" t="s">
        <v>18</v>
      </c>
      <c r="K6" s="6">
        <v>150000.0</v>
      </c>
      <c r="L6" s="5"/>
    </row>
    <row r="7">
      <c r="B7" s="4" t="s">
        <v>19</v>
      </c>
      <c r="C7" s="4" t="s">
        <v>20</v>
      </c>
      <c r="D7" s="5" t="s">
        <v>21</v>
      </c>
      <c r="E7" s="6">
        <v>0.0</v>
      </c>
      <c r="G7" s="4" t="s">
        <v>183</v>
      </c>
      <c r="H7" s="4" t="s">
        <v>23</v>
      </c>
      <c r="I7" s="5" t="s">
        <v>24</v>
      </c>
      <c r="J7" s="4" t="s">
        <v>18</v>
      </c>
      <c r="K7" s="6">
        <v>80000.0</v>
      </c>
      <c r="L7" s="5"/>
    </row>
    <row r="8">
      <c r="B8" s="4" t="s">
        <v>25</v>
      </c>
      <c r="C8" s="4" t="s">
        <v>20</v>
      </c>
      <c r="D8" s="5" t="s">
        <v>26</v>
      </c>
      <c r="E8" s="6">
        <v>0.0</v>
      </c>
      <c r="G8" s="4" t="s">
        <v>184</v>
      </c>
      <c r="H8" s="4" t="s">
        <v>28</v>
      </c>
      <c r="I8" s="5" t="s">
        <v>29</v>
      </c>
      <c r="J8" s="4" t="s">
        <v>30</v>
      </c>
      <c r="K8" s="6">
        <v>70000.0</v>
      </c>
      <c r="L8" s="5"/>
    </row>
    <row r="9">
      <c r="B9" s="4" t="s">
        <v>31</v>
      </c>
      <c r="C9" s="4" t="s">
        <v>20</v>
      </c>
      <c r="D9" s="5" t="s">
        <v>32</v>
      </c>
      <c r="E9" s="6">
        <v>0.0</v>
      </c>
      <c r="G9" s="4" t="s">
        <v>185</v>
      </c>
      <c r="H9" s="4" t="s">
        <v>34</v>
      </c>
      <c r="I9" s="5" t="s">
        <v>35</v>
      </c>
      <c r="J9" s="4" t="s">
        <v>18</v>
      </c>
      <c r="K9" s="6">
        <v>50000.0</v>
      </c>
      <c r="L9" s="5"/>
    </row>
    <row r="10">
      <c r="B10" s="7" t="s">
        <v>36</v>
      </c>
      <c r="C10" s="8"/>
      <c r="D10" s="9"/>
      <c r="E10" s="10">
        <f>SUM(E6:E9)</f>
        <v>4000000</v>
      </c>
      <c r="G10" s="4" t="s">
        <v>187</v>
      </c>
      <c r="H10" s="4" t="s">
        <v>38</v>
      </c>
      <c r="I10" s="5" t="s">
        <v>39</v>
      </c>
      <c r="J10" s="4" t="s">
        <v>18</v>
      </c>
      <c r="K10" s="6">
        <v>40000.0</v>
      </c>
      <c r="L10" s="5"/>
    </row>
    <row r="11">
      <c r="G11" s="4" t="s">
        <v>188</v>
      </c>
      <c r="H11" s="4" t="s">
        <v>41</v>
      </c>
      <c r="I11" s="5" t="s">
        <v>42</v>
      </c>
      <c r="J11" s="4" t="s">
        <v>30</v>
      </c>
      <c r="K11" s="6">
        <v>30000.0</v>
      </c>
      <c r="L11" s="5"/>
    </row>
    <row r="12">
      <c r="B12" s="2" t="s">
        <v>43</v>
      </c>
      <c r="G12" s="4"/>
      <c r="H12" s="4"/>
      <c r="I12" s="5"/>
      <c r="J12" s="4"/>
      <c r="K12" s="6">
        <v>0.0</v>
      </c>
      <c r="L12" s="5"/>
    </row>
    <row r="13">
      <c r="B13" s="3" t="s">
        <v>3</v>
      </c>
      <c r="C13" s="3" t="s">
        <v>44</v>
      </c>
      <c r="D13" s="3" t="s">
        <v>45</v>
      </c>
      <c r="E13" s="3" t="s">
        <v>6</v>
      </c>
      <c r="G13" s="4"/>
      <c r="H13" s="4"/>
      <c r="I13" s="5"/>
      <c r="J13" s="4"/>
      <c r="K13" s="6">
        <v>0.0</v>
      </c>
      <c r="L13" s="5"/>
    </row>
    <row r="14">
      <c r="B14" s="4" t="s">
        <v>46</v>
      </c>
      <c r="C14" s="4" t="s">
        <v>47</v>
      </c>
      <c r="D14" s="5" t="s">
        <v>48</v>
      </c>
      <c r="E14" s="6">
        <v>300000.0</v>
      </c>
      <c r="G14" s="4"/>
      <c r="H14" s="4"/>
      <c r="I14" s="5"/>
      <c r="J14" s="4"/>
      <c r="K14" s="6">
        <v>0.0</v>
      </c>
      <c r="L14" s="5"/>
    </row>
    <row r="15">
      <c r="B15" s="4" t="s">
        <v>49</v>
      </c>
      <c r="C15" s="4" t="s">
        <v>50</v>
      </c>
      <c r="D15" s="5" t="s">
        <v>51</v>
      </c>
      <c r="E15" s="6">
        <v>120000.0</v>
      </c>
      <c r="G15" s="4"/>
      <c r="H15" s="4"/>
      <c r="I15" s="5"/>
      <c r="J15" s="4"/>
      <c r="K15" s="6">
        <v>0.0</v>
      </c>
      <c r="L15" s="5"/>
    </row>
    <row r="16">
      <c r="B16" s="4" t="s">
        <v>52</v>
      </c>
      <c r="C16" s="4" t="s">
        <v>53</v>
      </c>
      <c r="D16" s="5" t="s">
        <v>54</v>
      </c>
      <c r="E16" s="6">
        <v>250000.0</v>
      </c>
      <c r="G16" s="4"/>
      <c r="H16" s="4"/>
      <c r="I16" s="5"/>
      <c r="J16" s="4"/>
      <c r="K16" s="6">
        <v>0.0</v>
      </c>
      <c r="L16" s="5"/>
    </row>
    <row r="17">
      <c r="B17" s="4" t="s">
        <v>55</v>
      </c>
      <c r="C17" s="4" t="s">
        <v>13</v>
      </c>
      <c r="D17" s="5" t="s">
        <v>56</v>
      </c>
      <c r="E17" s="6">
        <v>500000.0</v>
      </c>
      <c r="G17" s="4"/>
      <c r="H17" s="4"/>
      <c r="I17" s="5"/>
      <c r="J17" s="4"/>
      <c r="K17" s="6">
        <v>0.0</v>
      </c>
      <c r="L17" s="5"/>
    </row>
    <row r="18">
      <c r="B18" s="4" t="s">
        <v>57</v>
      </c>
      <c r="C18" s="4" t="s">
        <v>58</v>
      </c>
      <c r="D18" s="5" t="s">
        <v>59</v>
      </c>
      <c r="E18" s="6">
        <v>30000.0</v>
      </c>
      <c r="G18" s="4"/>
      <c r="H18" s="4"/>
      <c r="I18" s="5"/>
      <c r="J18" s="4"/>
      <c r="K18" s="6">
        <v>0.0</v>
      </c>
      <c r="L18" s="5"/>
    </row>
    <row r="19">
      <c r="B19" s="4" t="s">
        <v>61</v>
      </c>
      <c r="C19" s="4" t="s">
        <v>20</v>
      </c>
      <c r="D19" s="5" t="s">
        <v>62</v>
      </c>
      <c r="E19" s="6">
        <v>0.0</v>
      </c>
      <c r="G19" s="4"/>
      <c r="H19" s="4"/>
      <c r="I19" s="5"/>
      <c r="J19" s="4"/>
      <c r="K19" s="6">
        <v>0.0</v>
      </c>
      <c r="L19" s="5"/>
    </row>
    <row r="20">
      <c r="B20" s="11" t="s">
        <v>63</v>
      </c>
      <c r="C20" s="8"/>
      <c r="D20" s="9"/>
      <c r="E20" s="13">
        <f>SUM(E14:E19)</f>
        <v>1200000</v>
      </c>
      <c r="G20" s="4"/>
      <c r="H20" s="4"/>
      <c r="I20" s="5"/>
      <c r="J20" s="4"/>
      <c r="K20" s="6">
        <v>0.0</v>
      </c>
      <c r="L20" s="5"/>
    </row>
    <row r="21" ht="15.75" customHeight="1">
      <c r="G21" s="4"/>
      <c r="H21" s="4"/>
      <c r="I21" s="5"/>
      <c r="J21" s="4"/>
      <c r="K21" s="6">
        <v>0.0</v>
      </c>
      <c r="L21" s="5"/>
    </row>
    <row r="22" ht="15.75" customHeight="1">
      <c r="B22" s="2" t="s">
        <v>73</v>
      </c>
      <c r="G22" s="4"/>
      <c r="H22" s="4"/>
      <c r="I22" s="5"/>
      <c r="J22" s="4"/>
      <c r="K22" s="6">
        <v>0.0</v>
      </c>
      <c r="L22" s="5"/>
    </row>
    <row r="23" ht="15.75" customHeight="1">
      <c r="B23" s="3" t="s">
        <v>3</v>
      </c>
      <c r="C23" s="3" t="s">
        <v>74</v>
      </c>
      <c r="D23" s="3" t="s">
        <v>75</v>
      </c>
      <c r="E23" s="3" t="s">
        <v>6</v>
      </c>
      <c r="G23" s="4"/>
      <c r="H23" s="4"/>
      <c r="I23" s="5"/>
      <c r="J23" s="4"/>
      <c r="K23" s="6">
        <v>0.0</v>
      </c>
      <c r="L23" s="5"/>
    </row>
    <row r="24" ht="15.75" customHeight="1">
      <c r="B24" s="4" t="s">
        <v>76</v>
      </c>
      <c r="C24" s="4" t="s">
        <v>13</v>
      </c>
      <c r="D24" s="5" t="s">
        <v>77</v>
      </c>
      <c r="E24" s="6">
        <v>1000000.0</v>
      </c>
      <c r="G24" s="11" t="s">
        <v>78</v>
      </c>
      <c r="H24" s="8"/>
      <c r="I24" s="8"/>
      <c r="J24" s="9"/>
      <c r="K24" s="13">
        <f>SUM(K6:K23)</f>
        <v>420000</v>
      </c>
    </row>
    <row r="25" ht="15.75" customHeight="1">
      <c r="B25" s="4" t="s">
        <v>79</v>
      </c>
      <c r="C25" s="4" t="s">
        <v>13</v>
      </c>
      <c r="D25" s="5" t="s">
        <v>80</v>
      </c>
      <c r="E25" s="6">
        <v>500000.0</v>
      </c>
    </row>
    <row r="26" ht="15.75" customHeight="1">
      <c r="B26" s="4" t="s">
        <v>81</v>
      </c>
      <c r="C26" s="4" t="s">
        <v>13</v>
      </c>
      <c r="D26" s="5" t="s">
        <v>82</v>
      </c>
      <c r="E26" s="6">
        <v>500000.0</v>
      </c>
      <c r="G26" s="14" t="s">
        <v>83</v>
      </c>
      <c r="H26" s="14" t="s">
        <v>6</v>
      </c>
    </row>
    <row r="27" ht="15.75" customHeight="1">
      <c r="B27" s="4" t="s">
        <v>84</v>
      </c>
      <c r="C27" s="4" t="s">
        <v>13</v>
      </c>
      <c r="D27" s="5" t="s">
        <v>85</v>
      </c>
      <c r="E27" s="6">
        <v>200000.0</v>
      </c>
      <c r="G27" s="12" t="s">
        <v>86</v>
      </c>
      <c r="H27" s="15">
        <f>C31</f>
        <v>4000000</v>
      </c>
    </row>
    <row r="28" ht="15.75" customHeight="1">
      <c r="B28" s="16" t="s">
        <v>87</v>
      </c>
      <c r="C28" s="8"/>
      <c r="D28" s="9"/>
      <c r="E28" s="17">
        <f>SUM(E24:E27)</f>
        <v>2200000</v>
      </c>
      <c r="G28" s="12" t="s">
        <v>88</v>
      </c>
      <c r="H28" s="15">
        <f t="shared" ref="H28:H29" si="1">C34</f>
        <v>1620000</v>
      </c>
    </row>
    <row r="29" ht="15.75" customHeight="1">
      <c r="G29" s="12" t="s">
        <v>89</v>
      </c>
      <c r="H29" s="15">
        <f t="shared" si="1"/>
        <v>2200000</v>
      </c>
    </row>
    <row r="30" ht="15.75" customHeight="1">
      <c r="B30" s="2" t="s">
        <v>189</v>
      </c>
    </row>
    <row r="31" ht="15.75" customHeight="1">
      <c r="B31" s="18" t="s">
        <v>91</v>
      </c>
      <c r="C31" s="15">
        <f>E10</f>
        <v>4000000</v>
      </c>
    </row>
    <row r="32" ht="15.75" customHeight="1">
      <c r="B32" s="18" t="s">
        <v>92</v>
      </c>
      <c r="C32" s="15">
        <f>E20</f>
        <v>1200000</v>
      </c>
    </row>
    <row r="33" ht="15.75" customHeight="1">
      <c r="B33" s="18" t="s">
        <v>94</v>
      </c>
      <c r="C33" s="15">
        <f>K24</f>
        <v>420000</v>
      </c>
    </row>
    <row r="34" ht="15.75" customHeight="1">
      <c r="B34" s="18" t="s">
        <v>95</v>
      </c>
      <c r="C34" s="15">
        <f>C32+C33</f>
        <v>1620000</v>
      </c>
    </row>
    <row r="35" ht="15.75" customHeight="1">
      <c r="B35" s="18" t="s">
        <v>96</v>
      </c>
      <c r="C35" s="15">
        <f>E28</f>
        <v>2200000</v>
      </c>
    </row>
    <row r="36" ht="15.75" customHeight="1">
      <c r="B36" s="18" t="s">
        <v>97</v>
      </c>
      <c r="C36" s="15">
        <f>C31-C34-C35</f>
        <v>180000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0:D10"/>
    <mergeCell ref="B20:D20"/>
    <mergeCell ref="G24:J24"/>
    <mergeCell ref="B28:D28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0.0"/>
    <col customWidth="1" min="4" max="4" width="18.0"/>
    <col customWidth="1" min="5" max="5" width="14.0"/>
    <col customWidth="1" min="6" max="6" width="3.0"/>
    <col customWidth="1" min="7" max="8" width="12.0"/>
    <col customWidth="1" min="9" max="9" width="18.0"/>
    <col customWidth="1" min="10" max="10" width="12.0"/>
    <col customWidth="1" min="11" max="12" width="14.0"/>
    <col customWidth="1" min="13" max="26" width="8.71"/>
  </cols>
  <sheetData>
    <row r="2">
      <c r="B2" s="1" t="s">
        <v>190</v>
      </c>
    </row>
    <row r="4">
      <c r="B4" s="2" t="s">
        <v>1</v>
      </c>
      <c r="G4" s="2" t="s">
        <v>2</v>
      </c>
    </row>
    <row r="5">
      <c r="B5" s="3" t="s">
        <v>3</v>
      </c>
      <c r="C5" s="3" t="s">
        <v>4</v>
      </c>
      <c r="D5" s="3" t="s">
        <v>5</v>
      </c>
      <c r="E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6</v>
      </c>
      <c r="L5" s="3" t="s">
        <v>11</v>
      </c>
    </row>
    <row r="6">
      <c r="B6" s="4" t="s">
        <v>12</v>
      </c>
      <c r="C6" s="4" t="s">
        <v>13</v>
      </c>
      <c r="D6" s="5" t="s">
        <v>14</v>
      </c>
      <c r="E6" s="6">
        <v>4000000.0</v>
      </c>
      <c r="G6" s="4" t="s">
        <v>191</v>
      </c>
      <c r="H6" s="4" t="s">
        <v>16</v>
      </c>
      <c r="I6" s="5" t="s">
        <v>17</v>
      </c>
      <c r="J6" s="4" t="s">
        <v>18</v>
      </c>
      <c r="K6" s="6">
        <v>150000.0</v>
      </c>
      <c r="L6" s="5"/>
    </row>
    <row r="7">
      <c r="B7" s="4" t="s">
        <v>19</v>
      </c>
      <c r="C7" s="4" t="s">
        <v>20</v>
      </c>
      <c r="D7" s="5" t="s">
        <v>21</v>
      </c>
      <c r="E7" s="6">
        <v>0.0</v>
      </c>
      <c r="G7" s="4" t="s">
        <v>192</v>
      </c>
      <c r="H7" s="4" t="s">
        <v>23</v>
      </c>
      <c r="I7" s="5" t="s">
        <v>24</v>
      </c>
      <c r="J7" s="4" t="s">
        <v>18</v>
      </c>
      <c r="K7" s="6">
        <v>80000.0</v>
      </c>
      <c r="L7" s="5"/>
    </row>
    <row r="8">
      <c r="B8" s="4" t="s">
        <v>25</v>
      </c>
      <c r="C8" s="4" t="s">
        <v>20</v>
      </c>
      <c r="D8" s="5" t="s">
        <v>26</v>
      </c>
      <c r="E8" s="6">
        <v>0.0</v>
      </c>
      <c r="G8" s="4" t="s">
        <v>193</v>
      </c>
      <c r="H8" s="4" t="s">
        <v>28</v>
      </c>
      <c r="I8" s="5" t="s">
        <v>29</v>
      </c>
      <c r="J8" s="4" t="s">
        <v>30</v>
      </c>
      <c r="K8" s="6">
        <v>70000.0</v>
      </c>
      <c r="L8" s="5"/>
    </row>
    <row r="9">
      <c r="B9" s="4" t="s">
        <v>31</v>
      </c>
      <c r="C9" s="4" t="s">
        <v>20</v>
      </c>
      <c r="D9" s="5" t="s">
        <v>32</v>
      </c>
      <c r="E9" s="6">
        <v>0.0</v>
      </c>
      <c r="G9" s="4" t="s">
        <v>194</v>
      </c>
      <c r="H9" s="4" t="s">
        <v>34</v>
      </c>
      <c r="I9" s="5" t="s">
        <v>35</v>
      </c>
      <c r="J9" s="4" t="s">
        <v>18</v>
      </c>
      <c r="K9" s="6">
        <v>50000.0</v>
      </c>
      <c r="L9" s="5"/>
    </row>
    <row r="10">
      <c r="B10" s="7" t="s">
        <v>36</v>
      </c>
      <c r="C10" s="8"/>
      <c r="D10" s="9"/>
      <c r="E10" s="10">
        <f>SUM(E6:E9)</f>
        <v>4000000</v>
      </c>
      <c r="G10" s="4" t="s">
        <v>195</v>
      </c>
      <c r="H10" s="4" t="s">
        <v>38</v>
      </c>
      <c r="I10" s="5" t="s">
        <v>39</v>
      </c>
      <c r="J10" s="4" t="s">
        <v>18</v>
      </c>
      <c r="K10" s="6">
        <v>40000.0</v>
      </c>
      <c r="L10" s="5"/>
    </row>
    <row r="11">
      <c r="G11" s="4" t="s">
        <v>196</v>
      </c>
      <c r="H11" s="4" t="s">
        <v>41</v>
      </c>
      <c r="I11" s="5" t="s">
        <v>42</v>
      </c>
      <c r="J11" s="4" t="s">
        <v>30</v>
      </c>
      <c r="K11" s="6">
        <v>30000.0</v>
      </c>
      <c r="L11" s="5"/>
    </row>
    <row r="12">
      <c r="B12" s="2" t="s">
        <v>43</v>
      </c>
      <c r="G12" s="4"/>
      <c r="H12" s="4"/>
      <c r="I12" s="5"/>
      <c r="J12" s="4"/>
      <c r="K12" s="6">
        <v>0.0</v>
      </c>
      <c r="L12" s="5"/>
    </row>
    <row r="13">
      <c r="B13" s="3" t="s">
        <v>3</v>
      </c>
      <c r="C13" s="3" t="s">
        <v>44</v>
      </c>
      <c r="D13" s="3" t="s">
        <v>45</v>
      </c>
      <c r="E13" s="3" t="s">
        <v>6</v>
      </c>
      <c r="G13" s="4"/>
      <c r="H13" s="4"/>
      <c r="I13" s="5"/>
      <c r="J13" s="4"/>
      <c r="K13" s="6">
        <v>0.0</v>
      </c>
      <c r="L13" s="5"/>
    </row>
    <row r="14">
      <c r="B14" s="4" t="s">
        <v>46</v>
      </c>
      <c r="C14" s="4" t="s">
        <v>47</v>
      </c>
      <c r="D14" s="5" t="s">
        <v>48</v>
      </c>
      <c r="E14" s="6">
        <v>300000.0</v>
      </c>
      <c r="G14" s="4"/>
      <c r="H14" s="4"/>
      <c r="I14" s="5"/>
      <c r="J14" s="4"/>
      <c r="K14" s="6">
        <v>0.0</v>
      </c>
      <c r="L14" s="5"/>
    </row>
    <row r="15">
      <c r="B15" s="4" t="s">
        <v>49</v>
      </c>
      <c r="C15" s="4" t="s">
        <v>50</v>
      </c>
      <c r="D15" s="5" t="s">
        <v>51</v>
      </c>
      <c r="E15" s="6">
        <v>120000.0</v>
      </c>
      <c r="G15" s="4"/>
      <c r="H15" s="4"/>
      <c r="I15" s="5"/>
      <c r="J15" s="4"/>
      <c r="K15" s="6">
        <v>0.0</v>
      </c>
      <c r="L15" s="5"/>
    </row>
    <row r="16">
      <c r="B16" s="4" t="s">
        <v>52</v>
      </c>
      <c r="C16" s="4" t="s">
        <v>53</v>
      </c>
      <c r="D16" s="5" t="s">
        <v>54</v>
      </c>
      <c r="E16" s="6">
        <v>250000.0</v>
      </c>
      <c r="G16" s="4"/>
      <c r="H16" s="4"/>
      <c r="I16" s="5"/>
      <c r="J16" s="4"/>
      <c r="K16" s="6">
        <v>0.0</v>
      </c>
      <c r="L16" s="5"/>
    </row>
    <row r="17">
      <c r="B17" s="4" t="s">
        <v>55</v>
      </c>
      <c r="C17" s="4" t="s">
        <v>13</v>
      </c>
      <c r="D17" s="5" t="s">
        <v>56</v>
      </c>
      <c r="E17" s="6">
        <v>500000.0</v>
      </c>
      <c r="G17" s="4"/>
      <c r="H17" s="4"/>
      <c r="I17" s="5"/>
      <c r="J17" s="4"/>
      <c r="K17" s="6">
        <v>0.0</v>
      </c>
      <c r="L17" s="5"/>
    </row>
    <row r="18">
      <c r="B18" s="4" t="s">
        <v>57</v>
      </c>
      <c r="C18" s="4" t="s">
        <v>58</v>
      </c>
      <c r="D18" s="5" t="s">
        <v>59</v>
      </c>
      <c r="E18" s="6">
        <v>30000.0</v>
      </c>
      <c r="G18" s="4"/>
      <c r="H18" s="4"/>
      <c r="I18" s="5"/>
      <c r="J18" s="4"/>
      <c r="K18" s="6">
        <v>0.0</v>
      </c>
      <c r="L18" s="5"/>
    </row>
    <row r="19">
      <c r="B19" s="4" t="s">
        <v>61</v>
      </c>
      <c r="C19" s="4" t="s">
        <v>20</v>
      </c>
      <c r="D19" s="5" t="s">
        <v>62</v>
      </c>
      <c r="E19" s="6">
        <v>0.0</v>
      </c>
      <c r="G19" s="4"/>
      <c r="H19" s="4"/>
      <c r="I19" s="5"/>
      <c r="J19" s="4"/>
      <c r="K19" s="6">
        <v>0.0</v>
      </c>
      <c r="L19" s="5"/>
    </row>
    <row r="20">
      <c r="B20" s="11" t="s">
        <v>63</v>
      </c>
      <c r="C20" s="8"/>
      <c r="D20" s="9"/>
      <c r="E20" s="13">
        <f>SUM(E14:E19)</f>
        <v>1200000</v>
      </c>
      <c r="G20" s="4"/>
      <c r="H20" s="4"/>
      <c r="I20" s="5"/>
      <c r="J20" s="4"/>
      <c r="K20" s="6">
        <v>0.0</v>
      </c>
      <c r="L20" s="5"/>
    </row>
    <row r="21" ht="15.75" customHeight="1">
      <c r="G21" s="4"/>
      <c r="H21" s="4"/>
      <c r="I21" s="5"/>
      <c r="J21" s="4"/>
      <c r="K21" s="6">
        <v>0.0</v>
      </c>
      <c r="L21" s="5"/>
    </row>
    <row r="22" ht="15.75" customHeight="1">
      <c r="B22" s="2" t="s">
        <v>73</v>
      </c>
      <c r="G22" s="4"/>
      <c r="H22" s="4"/>
      <c r="I22" s="5"/>
      <c r="J22" s="4"/>
      <c r="K22" s="6">
        <v>0.0</v>
      </c>
      <c r="L22" s="5"/>
    </row>
    <row r="23" ht="15.75" customHeight="1">
      <c r="B23" s="3" t="s">
        <v>3</v>
      </c>
      <c r="C23" s="3" t="s">
        <v>74</v>
      </c>
      <c r="D23" s="3" t="s">
        <v>75</v>
      </c>
      <c r="E23" s="3" t="s">
        <v>6</v>
      </c>
      <c r="G23" s="4"/>
      <c r="H23" s="4"/>
      <c r="I23" s="5"/>
      <c r="J23" s="4"/>
      <c r="K23" s="6">
        <v>0.0</v>
      </c>
      <c r="L23" s="5"/>
    </row>
    <row r="24" ht="15.75" customHeight="1">
      <c r="B24" s="4" t="s">
        <v>76</v>
      </c>
      <c r="C24" s="4" t="s">
        <v>13</v>
      </c>
      <c r="D24" s="5" t="s">
        <v>77</v>
      </c>
      <c r="E24" s="6">
        <v>1000000.0</v>
      </c>
      <c r="G24" s="11" t="s">
        <v>78</v>
      </c>
      <c r="H24" s="8"/>
      <c r="I24" s="8"/>
      <c r="J24" s="9"/>
      <c r="K24" s="13">
        <f>SUM(K6:K23)</f>
        <v>420000</v>
      </c>
    </row>
    <row r="25" ht="15.75" customHeight="1">
      <c r="B25" s="4" t="s">
        <v>79</v>
      </c>
      <c r="C25" s="4" t="s">
        <v>13</v>
      </c>
      <c r="D25" s="5" t="s">
        <v>80</v>
      </c>
      <c r="E25" s="6">
        <v>500000.0</v>
      </c>
    </row>
    <row r="26" ht="15.75" customHeight="1">
      <c r="B26" s="4" t="s">
        <v>81</v>
      </c>
      <c r="C26" s="4" t="s">
        <v>13</v>
      </c>
      <c r="D26" s="5" t="s">
        <v>82</v>
      </c>
      <c r="E26" s="6">
        <v>500000.0</v>
      </c>
      <c r="G26" s="14" t="s">
        <v>83</v>
      </c>
      <c r="H26" s="14" t="s">
        <v>6</v>
      </c>
    </row>
    <row r="27" ht="15.75" customHeight="1">
      <c r="B27" s="4" t="s">
        <v>84</v>
      </c>
      <c r="C27" s="4" t="s">
        <v>13</v>
      </c>
      <c r="D27" s="5" t="s">
        <v>85</v>
      </c>
      <c r="E27" s="6">
        <v>200000.0</v>
      </c>
      <c r="G27" s="12" t="s">
        <v>86</v>
      </c>
      <c r="H27" s="15">
        <f>C31</f>
        <v>4000000</v>
      </c>
    </row>
    <row r="28" ht="15.75" customHeight="1">
      <c r="B28" s="16" t="s">
        <v>87</v>
      </c>
      <c r="C28" s="8"/>
      <c r="D28" s="9"/>
      <c r="E28" s="17">
        <f>SUM(E24:E27)</f>
        <v>2200000</v>
      </c>
      <c r="G28" s="12" t="s">
        <v>88</v>
      </c>
      <c r="H28" s="15">
        <f t="shared" ref="H28:H29" si="1">C34</f>
        <v>1620000</v>
      </c>
    </row>
    <row r="29" ht="15.75" customHeight="1">
      <c r="G29" s="12" t="s">
        <v>89</v>
      </c>
      <c r="H29" s="15">
        <f t="shared" si="1"/>
        <v>2200000</v>
      </c>
    </row>
    <row r="30" ht="15.75" customHeight="1">
      <c r="B30" s="2" t="s">
        <v>197</v>
      </c>
    </row>
    <row r="31" ht="15.75" customHeight="1">
      <c r="B31" s="18" t="s">
        <v>91</v>
      </c>
      <c r="C31" s="15">
        <f>E10</f>
        <v>4000000</v>
      </c>
    </row>
    <row r="32" ht="15.75" customHeight="1">
      <c r="B32" s="18" t="s">
        <v>92</v>
      </c>
      <c r="C32" s="15">
        <f>E20</f>
        <v>1200000</v>
      </c>
    </row>
    <row r="33" ht="15.75" customHeight="1">
      <c r="B33" s="18" t="s">
        <v>94</v>
      </c>
      <c r="C33" s="15">
        <f>K24</f>
        <v>420000</v>
      </c>
    </row>
    <row r="34" ht="15.75" customHeight="1">
      <c r="B34" s="18" t="s">
        <v>95</v>
      </c>
      <c r="C34" s="15">
        <f>C32+C33</f>
        <v>1620000</v>
      </c>
    </row>
    <row r="35" ht="15.75" customHeight="1">
      <c r="B35" s="18" t="s">
        <v>96</v>
      </c>
      <c r="C35" s="15">
        <f>E28</f>
        <v>2200000</v>
      </c>
    </row>
    <row r="36" ht="15.75" customHeight="1">
      <c r="B36" s="18" t="s">
        <v>97</v>
      </c>
      <c r="C36" s="15">
        <f>C31-C34-C35</f>
        <v>180000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0:D10"/>
    <mergeCell ref="B20:D20"/>
    <mergeCell ref="G24:J24"/>
    <mergeCell ref="B28:D28"/>
  </mergeCells>
  <printOptions/>
  <pageMargins bottom="1.0" footer="0.0" header="0.0" left="0.75" right="0.75" top="1.0"/>
  <pageSetup orientation="landscape"/>
  <drawing r:id="rId1"/>
</worksheet>
</file>